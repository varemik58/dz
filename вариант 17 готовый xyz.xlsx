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eron\Downloads\"/>
    </mc:Choice>
  </mc:AlternateContent>
  <bookViews>
    <workbookView xWindow="0" yWindow="0" windowWidth="28800" windowHeight="12180" activeTab="5"/>
  </bookViews>
  <sheets>
    <sheet name="ABC Менеджеры сумма" sheetId="4" r:id="rId1"/>
    <sheet name="ABC Менеджеры сделки " sheetId="7" r:id="rId2"/>
    <sheet name="Клиенты XYZ" sheetId="13" r:id="rId3"/>
    <sheet name="Данные" sheetId="1" r:id="rId4"/>
    <sheet name="ABC Менеджеры" sheetId="2" r:id="rId5"/>
    <sheet name="ABC_XYZ Клиенты" sheetId="3" r:id="rId6"/>
  </sheets>
  <definedNames>
    <definedName name="_xlnm._FilterDatabase" localSheetId="1" hidden="1">'ABC Менеджеры сделки '!$D$22:$J$42</definedName>
    <definedName name="_xlnm._FilterDatabase" localSheetId="0" hidden="1">'ABC Менеджеры сумма'!$A$22:$J$42</definedName>
    <definedName name="_xlnm._FilterDatabase" localSheetId="2" hidden="1">'Клиенты XYZ'!$L$1:$M$4957</definedName>
  </definedNames>
  <calcPr calcId="162913"/>
  <pivotCaches>
    <pivotCache cacheId="36" r:id="rId7"/>
    <pivotCache cacheId="35" r:id="rId8"/>
  </pivotCaches>
</workbook>
</file>

<file path=xl/calcChain.xml><?xml version="1.0" encoding="utf-8"?>
<calcChain xmlns="http://schemas.openxmlformats.org/spreadsheetml/2006/main">
  <c r="C2" i="13" l="1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" i="13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8" i="2"/>
  <c r="D23" i="7"/>
  <c r="H23" i="7" s="1"/>
  <c r="D24" i="7"/>
  <c r="D25" i="7"/>
  <c r="F25" i="7" s="1"/>
  <c r="D26" i="7"/>
  <c r="H26" i="7" s="1"/>
  <c r="D27" i="7"/>
  <c r="H27" i="7" s="1"/>
  <c r="D28" i="7"/>
  <c r="H28" i="7" s="1"/>
  <c r="D29" i="7"/>
  <c r="H29" i="7" s="1"/>
  <c r="D30" i="7"/>
  <c r="H30" i="7" s="1"/>
  <c r="D31" i="7"/>
  <c r="F31" i="7" s="1"/>
  <c r="D32" i="7"/>
  <c r="F32" i="7" s="1"/>
  <c r="D33" i="7"/>
  <c r="H33" i="7" s="1"/>
  <c r="D34" i="7"/>
  <c r="F34" i="7" s="1"/>
  <c r="D35" i="7"/>
  <c r="F35" i="7" s="1"/>
  <c r="D36" i="7"/>
  <c r="F36" i="7" s="1"/>
  <c r="D37" i="7"/>
  <c r="F37" i="7" s="1"/>
  <c r="D38" i="7"/>
  <c r="H38" i="7" s="1"/>
  <c r="D39" i="7"/>
  <c r="F39" i="7" s="1"/>
  <c r="D40" i="7"/>
  <c r="F40" i="7" s="1"/>
  <c r="D41" i="7"/>
  <c r="H41" i="7" s="1"/>
  <c r="D42" i="7"/>
  <c r="F42" i="7" s="1"/>
  <c r="K10" i="7"/>
  <c r="K4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23" i="7"/>
  <c r="F24" i="7"/>
  <c r="E24" i="4"/>
  <c r="G24" i="4" s="1"/>
  <c r="E25" i="4"/>
  <c r="E26" i="4"/>
  <c r="E27" i="4"/>
  <c r="E28" i="4"/>
  <c r="E29" i="4"/>
  <c r="E30" i="4"/>
  <c r="E31" i="4"/>
  <c r="E32" i="4"/>
  <c r="E33" i="4"/>
  <c r="E34" i="4"/>
  <c r="E35" i="4"/>
  <c r="E36" i="4"/>
  <c r="G36" i="4" s="1"/>
  <c r="E37" i="4"/>
  <c r="E38" i="4"/>
  <c r="E39" i="4"/>
  <c r="E40" i="4"/>
  <c r="E41" i="4"/>
  <c r="E42" i="4"/>
  <c r="E23" i="4"/>
  <c r="D24" i="4"/>
  <c r="F24" i="4" s="1"/>
  <c r="D25" i="4"/>
  <c r="F25" i="4" s="1"/>
  <c r="D26" i="4"/>
  <c r="F26" i="4" s="1"/>
  <c r="D27" i="4"/>
  <c r="F27" i="4" s="1"/>
  <c r="D28" i="4"/>
  <c r="F28" i="4" s="1"/>
  <c r="D29" i="4"/>
  <c r="F29" i="4" s="1"/>
  <c r="D30" i="4"/>
  <c r="F30" i="4" s="1"/>
  <c r="D31" i="4"/>
  <c r="F31" i="4" s="1"/>
  <c r="D32" i="4"/>
  <c r="F32" i="4" s="1"/>
  <c r="D33" i="4"/>
  <c r="F33" i="4" s="1"/>
  <c r="D34" i="4"/>
  <c r="F34" i="4" s="1"/>
  <c r="D35" i="4"/>
  <c r="F35" i="4" s="1"/>
  <c r="D36" i="4"/>
  <c r="F36" i="4" s="1"/>
  <c r="D37" i="4"/>
  <c r="F37" i="4" s="1"/>
  <c r="D38" i="4"/>
  <c r="F38" i="4" s="1"/>
  <c r="D39" i="4"/>
  <c r="F39" i="4" s="1"/>
  <c r="D40" i="4"/>
  <c r="F40" i="4" s="1"/>
  <c r="D41" i="4"/>
  <c r="F41" i="4" s="1"/>
  <c r="D42" i="4"/>
  <c r="F42" i="4" s="1"/>
  <c r="D23" i="4"/>
  <c r="F23" i="4" s="1"/>
  <c r="G39" i="4" l="1"/>
  <c r="G27" i="4"/>
  <c r="G37" i="4"/>
  <c r="G25" i="4"/>
  <c r="G31" i="4"/>
  <c r="G38" i="4"/>
  <c r="G26" i="4"/>
  <c r="G35" i="4"/>
  <c r="F23" i="7"/>
  <c r="G23" i="7" s="1"/>
  <c r="H31" i="7"/>
  <c r="I31" i="7" s="1"/>
  <c r="F33" i="7"/>
  <c r="G33" i="7" s="1"/>
  <c r="H32" i="7"/>
  <c r="I32" i="7" s="1"/>
  <c r="H42" i="7"/>
  <c r="I42" i="7" s="1"/>
  <c r="F30" i="7"/>
  <c r="G30" i="7"/>
  <c r="G32" i="7"/>
  <c r="G31" i="7"/>
  <c r="H37" i="7"/>
  <c r="I37" i="7" s="1"/>
  <c r="G42" i="7"/>
  <c r="I23" i="7"/>
  <c r="G39" i="7"/>
  <c r="H25" i="7"/>
  <c r="I25" i="7" s="1"/>
  <c r="H24" i="7"/>
  <c r="I24" i="7" s="1"/>
  <c r="I33" i="7"/>
  <c r="H36" i="7"/>
  <c r="I36" i="7" s="1"/>
  <c r="I41" i="7"/>
  <c r="I29" i="7"/>
  <c r="H35" i="7"/>
  <c r="I35" i="7" s="1"/>
  <c r="G40" i="7"/>
  <c r="I28" i="7"/>
  <c r="H34" i="7"/>
  <c r="I34" i="7" s="1"/>
  <c r="I30" i="7"/>
  <c r="I27" i="7"/>
  <c r="I38" i="7"/>
  <c r="I26" i="7"/>
  <c r="G24" i="7"/>
  <c r="G37" i="7"/>
  <c r="G25" i="7"/>
  <c r="G36" i="7"/>
  <c r="G35" i="7"/>
  <c r="F41" i="7"/>
  <c r="G41" i="7" s="1"/>
  <c r="F26" i="7"/>
  <c r="G26" i="7" s="1"/>
  <c r="F29" i="7"/>
  <c r="G29" i="7" s="1"/>
  <c r="F28" i="7"/>
  <c r="G28" i="7" s="1"/>
  <c r="F27" i="7"/>
  <c r="G27" i="7" s="1"/>
  <c r="F38" i="7"/>
  <c r="G38" i="7" s="1"/>
  <c r="H40" i="7"/>
  <c r="I40" i="7" s="1"/>
  <c r="H39" i="7"/>
  <c r="I39" i="7" s="1"/>
  <c r="G34" i="7"/>
  <c r="G34" i="4"/>
  <c r="G42" i="4"/>
  <c r="G30" i="4"/>
  <c r="G33" i="4"/>
  <c r="G41" i="4"/>
  <c r="G29" i="4"/>
  <c r="G23" i="4"/>
  <c r="G32" i="4"/>
  <c r="G40" i="4"/>
  <c r="G28" i="4"/>
  <c r="D4" i="4"/>
  <c r="H30" i="4"/>
  <c r="I30" i="4" s="1"/>
  <c r="H42" i="4"/>
  <c r="H41" i="4"/>
  <c r="H39" i="4"/>
  <c r="H40" i="4"/>
  <c r="I40" i="4" s="1"/>
  <c r="I42" i="4"/>
  <c r="H29" i="4"/>
  <c r="I29" i="4" s="1"/>
  <c r="I39" i="4"/>
  <c r="H27" i="4"/>
  <c r="I27" i="4" s="1"/>
  <c r="H38" i="4"/>
  <c r="I38" i="4" s="1"/>
  <c r="I41" i="4"/>
  <c r="H28" i="4"/>
  <c r="I28" i="4" s="1"/>
  <c r="H26" i="4"/>
  <c r="I26" i="4" s="1"/>
  <c r="H37" i="4"/>
  <c r="I37" i="4" s="1"/>
  <c r="H25" i="4"/>
  <c r="I25" i="4" s="1"/>
  <c r="H36" i="4"/>
  <c r="I36" i="4" s="1"/>
  <c r="H24" i="4"/>
  <c r="I24" i="4" s="1"/>
  <c r="H35" i="4"/>
  <c r="I35" i="4" s="1"/>
  <c r="H34" i="4"/>
  <c r="I34" i="4" s="1"/>
  <c r="H33" i="4"/>
  <c r="I33" i="4" s="1"/>
  <c r="H32" i="4"/>
  <c r="I32" i="4" s="1"/>
  <c r="H23" i="4"/>
  <c r="I23" i="4" s="1"/>
  <c r="H31" i="4"/>
  <c r="I31" i="4" s="1"/>
</calcChain>
</file>

<file path=xl/sharedStrings.xml><?xml version="1.0" encoding="utf-8"?>
<sst xmlns="http://schemas.openxmlformats.org/spreadsheetml/2006/main" count="7591" uniqueCount="307">
  <si>
    <t>ФИО менеджера</t>
  </si>
  <si>
    <t>ФИО клиента</t>
  </si>
  <si>
    <t>Дата сделки</t>
  </si>
  <si>
    <t>Сумма сделки</t>
  </si>
  <si>
    <t>Иванова Анна Сергеевна</t>
  </si>
  <si>
    <t>Яковлев Артем Игоревич</t>
  </si>
  <si>
    <t>Семенова Ирина Валерьевна</t>
  </si>
  <si>
    <t>Ткаченко Андрей Олегович</t>
  </si>
  <si>
    <t>Орлов Павел Денисович</t>
  </si>
  <si>
    <t>Фролов Сергей Викторович</t>
  </si>
  <si>
    <t>ФИО Менеджера (по алфавиту)</t>
  </si>
  <si>
    <t>ABC по сумме сделки</t>
  </si>
  <si>
    <t>ABC по количеству сделок</t>
  </si>
  <si>
    <t>A</t>
  </si>
  <si>
    <t>B</t>
  </si>
  <si>
    <t>C</t>
  </si>
  <si>
    <t>ФИО Клиента (все клиенты)</t>
  </si>
  <si>
    <t>ABC</t>
  </si>
  <si>
    <t>XYZ</t>
  </si>
  <si>
    <t>Z</t>
  </si>
  <si>
    <t>Y</t>
  </si>
  <si>
    <t>X</t>
  </si>
  <si>
    <t>Сводная таблица</t>
  </si>
  <si>
    <t>количество клиентов каждой категории</t>
  </si>
  <si>
    <t>Сумма сделок в каждой категории</t>
  </si>
  <si>
    <t>Кузнецов Максим Алексеевич</t>
  </si>
  <si>
    <t>Морозова Елена Андреевна</t>
  </si>
  <si>
    <t>Волков Дмитрий Романович</t>
  </si>
  <si>
    <t>Лебедев Николай Олегович</t>
  </si>
  <si>
    <t>Соколова Мария Ильинична</t>
  </si>
  <si>
    <t>Новикова Ольга Викторовна</t>
  </si>
  <si>
    <t>Козлов Алексей Михайлович</t>
  </si>
  <si>
    <t>Павлова Татьяна Сергеевна</t>
  </si>
  <si>
    <t>Смирнов Евгений Андреевич</t>
  </si>
  <si>
    <t>Попов Кирилл Денисович</t>
  </si>
  <si>
    <t>Васильева Дарья Павловна</t>
  </si>
  <si>
    <t>Михайлова Алина Романовна</t>
  </si>
  <si>
    <t>Федорова Ксения Максимовна</t>
  </si>
  <si>
    <t>Егоров Илья Александрович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</si>
  <si>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</si>
  <si>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</si>
  <si>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</si>
  <si>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</si>
  <si>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</si>
  <si>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</si>
  <si>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</si>
  <si>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</si>
  <si>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Васильева Людмила Денисовна</t>
  </si>
  <si>
    <t>Сидоров Артем Алексеевич</t>
  </si>
  <si>
    <t>Семенов Игорь Иванович</t>
  </si>
  <si>
    <t>Егорова Екатерина Михайловна</t>
  </si>
  <si>
    <t>Петрова Людмила Федоровна</t>
  </si>
  <si>
    <t>Романова Ирина Антоновна</t>
  </si>
  <si>
    <t>Степанова Ксения Ильинична</t>
  </si>
  <si>
    <t>Комаров Борис Борисович</t>
  </si>
  <si>
    <t>Козлова Екатерина Павловна</t>
  </si>
  <si>
    <t>Сергеев Никита Денисович</t>
  </si>
  <si>
    <t>Яковлев Сергей Викторович</t>
  </si>
  <si>
    <t>Баранов Дмитрий Михайлович</t>
  </si>
  <si>
    <t>Ковалев Иван Викторович</t>
  </si>
  <si>
    <t>Никитина Марина Ильинична</t>
  </si>
  <si>
    <t>Кузнецова Алина Федоровна</t>
  </si>
  <si>
    <t>Иванова Ксения Александровна</t>
  </si>
  <si>
    <t>Иванова Алина Андреевна</t>
  </si>
  <si>
    <t>Андреев Денис Федорович</t>
  </si>
  <si>
    <t>Козлов Федор Борисович</t>
  </si>
  <si>
    <t>Яковлев Антон Антонович</t>
  </si>
  <si>
    <t>Белова Наталья Сергеевна</t>
  </si>
  <si>
    <t>Григорьев Александр Денисович</t>
  </si>
  <si>
    <t>Федорова Елена Романовна</t>
  </si>
  <si>
    <t>Михайлов Илья Алексеевич</t>
  </si>
  <si>
    <t>Иванов Борис Максимович</t>
  </si>
  <si>
    <t>Баранова Анна Дмитриевна</t>
  </si>
  <si>
    <t>Лебедева Наталья Ильинична</t>
  </si>
  <si>
    <t>Сергеева Светлана Ильинична</t>
  </si>
  <si>
    <t>Васильева Людмила Антоновна</t>
  </si>
  <si>
    <t>Павлов Федор Павлович</t>
  </si>
  <si>
    <t>Семенов Игорь Федорович</t>
  </si>
  <si>
    <t>Новиков Евгений Артемович</t>
  </si>
  <si>
    <t>Смирнов Степан Артемович</t>
  </si>
  <si>
    <t>Комаров Максим Кириллович</t>
  </si>
  <si>
    <t>Кузнецова Анастасия Олеговна</t>
  </si>
  <si>
    <t>Ковалев Никита Сергеевич</t>
  </si>
  <si>
    <t>Степанова Виктория Ивановна</t>
  </si>
  <si>
    <t>Макарова Валерия Олеговна</t>
  </si>
  <si>
    <t>Смирнов Иван Владимирович</t>
  </si>
  <si>
    <t>Романов Денис Викторович</t>
  </si>
  <si>
    <t>Борисов Роман Викторович</t>
  </si>
  <si>
    <t>Захаров Илья Кириллович</t>
  </si>
  <si>
    <t>Макарова Виктория Владимировна</t>
  </si>
  <si>
    <t>Попов Сергей Сергеевич</t>
  </si>
  <si>
    <t>Воробьев Кирилл Борисович</t>
  </si>
  <si>
    <t>Орлова Мария Владимировна</t>
  </si>
  <si>
    <t>Зайцев Сергей Владимирович</t>
  </si>
  <si>
    <t>Козлов Юрий Антонович</t>
  </si>
  <si>
    <t>Николаева Алина Викторовна</t>
  </si>
  <si>
    <t>Андреев Михаил Иванович</t>
  </si>
  <si>
    <t>Морозова Софья Максимовна</t>
  </si>
  <si>
    <t>Григорьева Светлана Игоревна</t>
  </si>
  <si>
    <t>Павлов Виктор Сергеевич</t>
  </si>
  <si>
    <t>Комарова Юлия Владимировна</t>
  </si>
  <si>
    <t>Белова Наталья Игоревна</t>
  </si>
  <si>
    <t>Семенов Дмитрий Михайлович</t>
  </si>
  <si>
    <t>Козлов Игорь Михайлович</t>
  </si>
  <si>
    <t>Куликов Артем Антонович</t>
  </si>
  <si>
    <t>Тарасов Олег Викторович</t>
  </si>
  <si>
    <t>Белова Марина Владимировна</t>
  </si>
  <si>
    <t>Борисов Денис Игоревич</t>
  </si>
  <si>
    <t>Никитин Роман Николаевич</t>
  </si>
  <si>
    <t>Павлова Анастасия Денисовна</t>
  </si>
  <si>
    <t>Андреева Софья Романовна</t>
  </si>
  <si>
    <t>Андреев Артем Николаевич</t>
  </si>
  <si>
    <t>Ковалев Кирилл Кириллович</t>
  </si>
  <si>
    <t>Егорова Ирина Сергеевна</t>
  </si>
  <si>
    <t>Иванова Елена Евгеньевна</t>
  </si>
  <si>
    <t>Алексеева Татьяна Андреевна</t>
  </si>
  <si>
    <t>Иванов Олег Евгеньевич</t>
  </si>
  <si>
    <t>Морозова Дарья Николаевна</t>
  </si>
  <si>
    <t>Сидоров Михаил Антонович</t>
  </si>
  <si>
    <t>Сергеев Николай Антонович</t>
  </si>
  <si>
    <t>Никитин Павел Евгеньевич</t>
  </si>
  <si>
    <t>Никитина Алина Антоновна</t>
  </si>
  <si>
    <t>Васильева Надежда Ильинична</t>
  </si>
  <si>
    <t>Григорьев Евгений Антонович</t>
  </si>
  <si>
    <t>Белова Екатерина Максимовна</t>
  </si>
  <si>
    <t>Федорова Алина Ивановна</t>
  </si>
  <si>
    <t>Зайцев Борис Михайлович</t>
  </si>
  <si>
    <t>Яковлева Елена Юрьевна</t>
  </si>
  <si>
    <t>Куликов Юрий Евгеньевич</t>
  </si>
  <si>
    <t>Иванов Олег Михайлович</t>
  </si>
  <si>
    <t>Морозова Александра Ивановна</t>
  </si>
  <si>
    <t>Романов Иван Николаевич</t>
  </si>
  <si>
    <t>Захаров Михаил Олегович</t>
  </si>
  <si>
    <t>Андреева Татьяна Максимовна</t>
  </si>
  <si>
    <t>Петрова Марина Николаевна</t>
  </si>
  <si>
    <t>Яковлев Михаил Викторович</t>
  </si>
  <si>
    <t>Кузнецова Наталья Антоновна</t>
  </si>
  <si>
    <t>Соловьева Ольга Дмитриевна</t>
  </si>
  <si>
    <t>Ковалева Дарья Александровна</t>
  </si>
  <si>
    <t>Орлова Полина Ивановна</t>
  </si>
  <si>
    <t>Сидоров Павел Артемович</t>
  </si>
  <si>
    <t>Федоров Федор Антонович</t>
  </si>
  <si>
    <t>Сидорова Софья Андреевна</t>
  </si>
  <si>
    <t>Соколова Мария Олеговна</t>
  </si>
  <si>
    <t>Баранов Артем Владимирович</t>
  </si>
  <si>
    <t>Зайцев Андрей Антонович</t>
  </si>
  <si>
    <t>Федоров Николай Антонович</t>
  </si>
  <si>
    <t>Кузнецова Мария Дмитриевна</t>
  </si>
  <si>
    <t>Михайлов Кирилл Павлович</t>
  </si>
  <si>
    <t>Куликова Людмила Игоревна</t>
  </si>
  <si>
    <t>Сидорова Софья Ильинична</t>
  </si>
  <si>
    <t>Волкова Светлана Романовна</t>
  </si>
  <si>
    <t>Куликов Борис Максимович</t>
  </si>
  <si>
    <t>Алексеева Анна Евгеньевна</t>
  </si>
  <si>
    <t>Морозов Николай Иванович</t>
  </si>
  <si>
    <t>Соловьев Кирилл Романович</t>
  </si>
  <si>
    <t>Иванов Максим Евгеньевич</t>
  </si>
  <si>
    <t>Сергеева Полина Павловна</t>
  </si>
  <si>
    <t>Захарова Надежда Романовна</t>
  </si>
  <si>
    <t>Семенова Валерия Романовна</t>
  </si>
  <si>
    <t>Егорова Наталья Павловна</t>
  </si>
  <si>
    <t>Михайлова Ольга Алексеевна</t>
  </si>
  <si>
    <t>Никитина Татьяна Антоновна</t>
  </si>
  <si>
    <t>Макарова Софья Михайловна</t>
  </si>
  <si>
    <t>Николаев Федор Алексеевич</t>
  </si>
  <si>
    <t>Куликова Ксения Игоревна</t>
  </si>
  <si>
    <t>Яковлева Екатерина Дмитриевна</t>
  </si>
  <si>
    <t>Петров Степан Александрович</t>
  </si>
  <si>
    <t>Попова Надежда Павловна</t>
  </si>
  <si>
    <t>Никитин Антон Сергеевич</t>
  </si>
  <si>
    <t>Семенова Александра Ильинична</t>
  </si>
  <si>
    <t>Волкова Анастасия Денисовна</t>
  </si>
  <si>
    <t>Макаров Илья Андреевич</t>
  </si>
  <si>
    <t>Морозова Алина Викторовна</t>
  </si>
  <si>
    <t>Федоров Роман Михайлович</t>
  </si>
  <si>
    <t>Морозова Мария Павловна</t>
  </si>
  <si>
    <t>Морозов Павел Романович</t>
  </si>
  <si>
    <t>Тарасов Степан Михайлович</t>
  </si>
  <si>
    <t>Макарова Дарья Алексеевна</t>
  </si>
  <si>
    <t>Морозов Антон Дмитриевич</t>
  </si>
  <si>
    <t>Кузнецов Денис Борисович</t>
  </si>
  <si>
    <t>Зайцева Наталья Евгеньевна</t>
  </si>
  <si>
    <t>Захарова Мария Андреевна</t>
  </si>
  <si>
    <t>Романова Ксения Федоровна</t>
  </si>
  <si>
    <t>Воробьев Дмитрий Николаевич</t>
  </si>
  <si>
    <t>Сергеев Владимир Александрович</t>
  </si>
  <si>
    <t>Иванова Елена Павловна</t>
  </si>
  <si>
    <t>Никитина Юлия Алексеевна</t>
  </si>
  <si>
    <t>Сидоров Дмитрий Кириллович</t>
  </si>
  <si>
    <t>Белова Елена Денисовна</t>
  </si>
  <si>
    <t>Николаева Татьяна Викторовна</t>
  </si>
  <si>
    <t>Павлов Илья Федорович</t>
  </si>
  <si>
    <t>Зайцев Федор Игоревич</t>
  </si>
  <si>
    <t>Комарова Светлана Владимировна</t>
  </si>
  <si>
    <t>Кузнецова Валерия Игоревна</t>
  </si>
  <si>
    <t>Федорова Марина Александровна</t>
  </si>
  <si>
    <t>Михайлова Виктория Андреевна</t>
  </si>
  <si>
    <t>Новиков Артем Олегович</t>
  </si>
  <si>
    <t>Тарасов Артем Евгеньевич</t>
  </si>
  <si>
    <t>Никитин Антон Алексеевич</t>
  </si>
  <si>
    <t>Сергеев Илья Денисович</t>
  </si>
  <si>
    <t>Воробьев Юрий Ильич</t>
  </si>
  <si>
    <t>Никитин Виктор Сергеевич</t>
  </si>
  <si>
    <t>Павлова Наталья Антоновна</t>
  </si>
  <si>
    <t>Николаева Ирина Максимовна</t>
  </si>
  <si>
    <t>Яковлева Светлана Евгеньевна</t>
  </si>
  <si>
    <t>Григорьев Николай Романович</t>
  </si>
  <si>
    <t>Никитин Николай Андреевич</t>
  </si>
  <si>
    <t>Волкова Марина Денисовна</t>
  </si>
  <si>
    <t>Ковалев Владимир Романович</t>
  </si>
  <si>
    <t>Семенова Валерия Павловна</t>
  </si>
  <si>
    <t>Никитин Сергей Андреевич</t>
  </si>
  <si>
    <t>Никитина Марина Денисовна</t>
  </si>
  <si>
    <t>Семенова Людмила Павловна</t>
  </si>
  <si>
    <t>Федорова Валерия Антоновна</t>
  </si>
  <si>
    <t>Никитина Дарья Андреевна</t>
  </si>
  <si>
    <t>Иванов Дмитрий Игоревич</t>
  </si>
  <si>
    <t>Тарасова Елена Олеговна</t>
  </si>
  <si>
    <t>Лебедева Ирина Федоровна</t>
  </si>
  <si>
    <t>Борисов Владимир Игоревич</t>
  </si>
  <si>
    <t>Андреева Екатерина Сергеевна</t>
  </si>
  <si>
    <t>Волков Борис Игоревич</t>
  </si>
  <si>
    <t>Яковлева Ольга Владимировна</t>
  </si>
  <si>
    <t>Федоров Юрий Павлович</t>
  </si>
  <si>
    <t>Соколов Андрей Евгеньевич</t>
  </si>
  <si>
    <t>Яковлев Дмитрий Олегович</t>
  </si>
  <si>
    <t>Михайлов Антон Иванович</t>
  </si>
  <si>
    <t>Комаров Олег Олегович</t>
  </si>
  <si>
    <t>Комарова Алина Романовна</t>
  </si>
  <si>
    <t>Андреев Артем Борисович</t>
  </si>
  <si>
    <t>Семенов Андрей Игоревич</t>
  </si>
  <si>
    <t>Соколов Никита Ильич</t>
  </si>
  <si>
    <t>Сидоров Виктор Алексеевич</t>
  </si>
  <si>
    <t>Сидорова Софья Дмитриевна</t>
  </si>
  <si>
    <t>Ковалев Кирилл Алексеевич</t>
  </si>
  <si>
    <t>Иванов Владимир Алексеевич</t>
  </si>
  <si>
    <t>Попова Анна Николаевна</t>
  </si>
  <si>
    <t>Новиков Никита Артемович</t>
  </si>
  <si>
    <t>Комарова Дарья Игоревна</t>
  </si>
  <si>
    <t>Баранов Алексей Алексеевич</t>
  </si>
  <si>
    <t>Воробьева Ирина Игоревна</t>
  </si>
  <si>
    <t>Соловьев Сергей Николаевич</t>
  </si>
  <si>
    <t>Макаров Алексей Андреевич</t>
  </si>
  <si>
    <t>Орлова Валерия Евгеньевна</t>
  </si>
  <si>
    <t>Новиков Вадим Борисович</t>
  </si>
  <si>
    <t>Романов Кирилл Михайлович</t>
  </si>
  <si>
    <t>Романов Алексей Владимирович</t>
  </si>
  <si>
    <t>Сидорова Полина Александровна</t>
  </si>
  <si>
    <t>Михайлов Игорь Иванович</t>
  </si>
  <si>
    <t>Козлова Полина Антоновна</t>
  </si>
  <si>
    <t>Васильев Андрей Михайлович</t>
  </si>
  <si>
    <t>Тарасов Дмитрий Романович</t>
  </si>
  <si>
    <t>Федорова Ольга Романовна</t>
  </si>
  <si>
    <t>Михайлова Марина Ильинична</t>
  </si>
  <si>
    <t>Орлова Татьяна Павловна</t>
  </si>
  <si>
    <t>Кузнецова Юлия Павловна</t>
  </si>
  <si>
    <t>Иванова Светлана Федоровна</t>
  </si>
  <si>
    <t>Комарова Валерия Ивановна</t>
  </si>
  <si>
    <t>Попов Сергей Артемович</t>
  </si>
  <si>
    <t>Соловьева Анна Антоновна</t>
  </si>
  <si>
    <t>Сидорова Мария Федоровна</t>
  </si>
  <si>
    <t>Михайлова Виктория Антоновна</t>
  </si>
  <si>
    <t>Егорова Светлана Николаевна</t>
  </si>
  <si>
    <t>Воробьев Виктор Николаевич</t>
  </si>
  <si>
    <t>Воробьев Александр Павлович</t>
  </si>
  <si>
    <t>Сидорова Ксения Игоревна</t>
  </si>
  <si>
    <t>Яковлев Виктор Денисович</t>
  </si>
  <si>
    <t>Орлова Виктория Евгеньевна</t>
  </si>
  <si>
    <t>Сергеев Игорь Ильич</t>
  </si>
  <si>
    <t>Андреева Алина Максимовна</t>
  </si>
  <si>
    <t>Борисов Сергей Александрович</t>
  </si>
  <si>
    <t>Андреев Роман Федорович</t>
  </si>
  <si>
    <t>Яковлева Татьяна Павловна</t>
  </si>
  <si>
    <t>Федорова Анна Алексеевна</t>
  </si>
  <si>
    <t>Васильев Михаил Александрович</t>
  </si>
  <si>
    <t>Кузнецов Денис Сергеевич</t>
  </si>
  <si>
    <t>Новиков Андрей Антонович</t>
  </si>
  <si>
    <t>Макаров Илья Павлович</t>
  </si>
  <si>
    <t>Попова Виктория Юрьевна</t>
  </si>
  <si>
    <t>Степанов Артем Романович</t>
  </si>
  <si>
    <t>Яковлева Александра Николаевна</t>
  </si>
  <si>
    <t>Попова Валерия Сергеевна</t>
  </si>
  <si>
    <t>Яковлев Александр Романович</t>
  </si>
  <si>
    <t>Николаева Надежда Олеговна</t>
  </si>
  <si>
    <t>Названия строк</t>
  </si>
  <si>
    <t>Сумма по полю Сумма сделки</t>
  </si>
  <si>
    <t>Номер</t>
  </si>
  <si>
    <t>20/30/50</t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</si>
  <si>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</si>
  <si>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t>80/15/5</t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</si>
  <si>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1</t>
    </r>
  </si>
  <si>
    <r>
      <rPr>
        <sz val="11"/>
        <color theme="1"/>
        <rFont val="Calibri"/>
        <family val="2"/>
        <charset val="204"/>
        <scheme val="minor"/>
      </rPr>
      <t>X</t>
    </r>
    <r>
      <rPr>
        <vertAlign val="subscript"/>
        <sz val="11"/>
        <color theme="1"/>
        <rFont val="Calibri"/>
        <family val="2"/>
        <charset val="204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</si>
  <si>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>-Y</t>
    </r>
    <r>
      <rPr>
        <vertAlign val="subscript"/>
        <sz val="11"/>
        <color theme="1"/>
        <rFont val="Calibri"/>
        <family val="2"/>
        <charset val="204"/>
        <scheme val="minor"/>
      </rPr>
      <t>1</t>
    </r>
  </si>
  <si>
    <t>Xa-bc</t>
  </si>
  <si>
    <t>Ya-bc</t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</si>
  <si>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</si>
  <si>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>-Y</t>
    </r>
    <r>
      <rPr>
        <vertAlign val="subscript"/>
        <sz val="11"/>
        <color theme="1"/>
        <rFont val="Calibri"/>
        <family val="2"/>
        <charset val="204"/>
        <scheme val="minor"/>
      </rPr>
      <t>2</t>
    </r>
  </si>
  <si>
    <t>Xb-c</t>
  </si>
  <si>
    <t>Yb-c</t>
  </si>
  <si>
    <t>Перпендикуляры</t>
  </si>
  <si>
    <r>
      <t>X</t>
    </r>
    <r>
      <rPr>
        <vertAlign val="subscript"/>
        <sz val="11"/>
        <color theme="1"/>
        <rFont val="Calibri"/>
        <family val="2"/>
        <charset val="204"/>
        <scheme val="minor"/>
      </rPr>
      <t>1</t>
    </r>
  </si>
  <si>
    <t>Количество по полю ФИО менеджера</t>
  </si>
  <si>
    <t>Названия столбцов</t>
  </si>
  <si>
    <t>Клиент</t>
  </si>
  <si>
    <t>Сумма</t>
  </si>
  <si>
    <t>Сумма по полю Сумма</t>
  </si>
  <si>
    <t xml:space="preserve">Вариации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</si>
</sst>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name val="Carlito"/>
    </font>
    <font>
      <b/>
      <sz val="11"/>
      <color rgb="FFFFFFFF"/>
      <name val="Carlito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F4E78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0" borderId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 wrapText="1"/>
    </xf>
    <xf numFmtId="0" fontId="0" fillId="2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4" fillId="4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Fill="1" applyBorder="1"/>
    <xf numFmtId="3" fontId="0" fillId="0" borderId="0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9" fontId="0" fillId="0" borderId="0" xfId="2" applyFont="1"/>
    <xf numFmtId="165" fontId="0" fillId="0" borderId="0" xfId="2" applyNumberFormat="1" applyFont="1"/>
    <xf numFmtId="165" fontId="0" fillId="5" borderId="0" xfId="2" applyNumberFormat="1" applyFont="1" applyFill="1"/>
    <xf numFmtId="165" fontId="0" fillId="6" borderId="0" xfId="2" applyNumberFormat="1" applyFont="1" applyFill="1"/>
    <xf numFmtId="165" fontId="0" fillId="7" borderId="0" xfId="2" applyNumberFormat="1" applyFont="1" applyFill="1"/>
    <xf numFmtId="165" fontId="0" fillId="8" borderId="0" xfId="2" applyNumberFormat="1" applyFont="1" applyFill="1"/>
    <xf numFmtId="10" fontId="0" fillId="5" borderId="0" xfId="0" applyNumberFormat="1" applyFill="1"/>
    <xf numFmtId="10" fontId="0" fillId="7" borderId="0" xfId="0" applyNumberFormat="1" applyFill="1"/>
    <xf numFmtId="10" fontId="0" fillId="8" borderId="0" xfId="0" applyNumberFormat="1" applyFill="1"/>
    <xf numFmtId="0" fontId="1" fillId="0" borderId="0" xfId="0" applyFont="1"/>
    <xf numFmtId="9" fontId="0" fillId="0" borderId="0" xfId="0" applyNumberFormat="1"/>
    <xf numFmtId="165" fontId="0" fillId="0" borderId="0" xfId="0" applyNumberFormat="1"/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/>
    <xf numFmtId="0" fontId="0" fillId="6" borderId="0" xfId="0" applyFill="1"/>
  </cellXfs>
  <cellStyles count="3">
    <cellStyle name="Normal" xfId="1"/>
    <cellStyle name="Обычный" xfId="0" builtinId="0"/>
    <cellStyle name="Процентный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'ABC Менеджеры сумма'!$E$22</c:f>
              <c:strCache>
                <c:ptCount val="1"/>
                <c:pt idx="0">
                  <c:v>Y0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'ABC Менеджеры сумма'!$D$23:$D$42</c:f>
              <c:numCache>
                <c:formatCode>0.0%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xVal>
          <c:yVal>
            <c:numRef>
              <c:f>'ABC Менеджеры сумма'!$E$23:$E$42</c:f>
              <c:numCache>
                <c:formatCode>0.00%</c:formatCode>
                <c:ptCount val="20"/>
                <c:pt idx="0">
                  <c:v>0.42976038914599213</c:v>
                </c:pt>
                <c:pt idx="1">
                  <c:v>0.63148449135976847</c:v>
                </c:pt>
                <c:pt idx="2">
                  <c:v>0.75715126275488742</c:v>
                </c:pt>
                <c:pt idx="3">
                  <c:v>0.8249043484112476</c:v>
                </c:pt>
                <c:pt idx="4">
                  <c:v>0.86520568984222901</c:v>
                </c:pt>
                <c:pt idx="5">
                  <c:v>0.89385015944616042</c:v>
                </c:pt>
                <c:pt idx="6">
                  <c:v>0.91483726701871648</c:v>
                </c:pt>
                <c:pt idx="7">
                  <c:v>0.93309380987732182</c:v>
                </c:pt>
                <c:pt idx="8">
                  <c:v>0.94662138659993633</c:v>
                </c:pt>
                <c:pt idx="9">
                  <c:v>0.95786539238001622</c:v>
                </c:pt>
                <c:pt idx="10">
                  <c:v>0.96670485332707168</c:v>
                </c:pt>
                <c:pt idx="11">
                  <c:v>0.97494218533052368</c:v>
                </c:pt>
                <c:pt idx="12">
                  <c:v>0.9818609634492631</c:v>
                </c:pt>
                <c:pt idx="13">
                  <c:v>0.98680084809464608</c:v>
                </c:pt>
                <c:pt idx="14">
                  <c:v>0.99046513213682197</c:v>
                </c:pt>
                <c:pt idx="15">
                  <c:v>0.99356681767727983</c:v>
                </c:pt>
                <c:pt idx="16">
                  <c:v>0.99605853306310943</c:v>
                </c:pt>
                <c:pt idx="17">
                  <c:v>0.9976400415680382</c:v>
                </c:pt>
                <c:pt idx="18">
                  <c:v>0.99894903163616566</c:v>
                </c:pt>
                <c:pt idx="1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FF-411E-B5A3-B3AB3D3CAAF1}"/>
            </c:ext>
          </c:extLst>
        </c:ser>
        <c:ser>
          <c:idx val="1"/>
          <c:order val="1"/>
          <c:tx>
            <c:strRef>
              <c:f>'ABC Менеджеры сумма'!$F$22</c:f>
              <c:strCache>
                <c:ptCount val="1"/>
                <c:pt idx="0">
                  <c:v>Y1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1038685320671877"/>
                  <c:y val="-4.969308482690334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solidFill>
                          <a:srgbClr val="FF0000"/>
                        </a:solidFill>
                      </a:rPr>
                      <a:t>y = x</a:t>
                    </a:r>
                    <a:endParaRPr lang="en-US">
                      <a:solidFill>
                        <a:srgbClr val="FF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'ABC Менеджеры сумма'!$G$2:$G$3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'ABC Менеджеры сумма'!$H$2:$H$3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FF-411E-B5A3-B3AB3D3CAAF1}"/>
            </c:ext>
          </c:extLst>
        </c:ser>
        <c:ser>
          <c:idx val="3"/>
          <c:order val="2"/>
          <c:tx>
            <c:strRef>
              <c:f>'ABC Менеджеры сумма'!$H$22</c:f>
              <c:strCache>
                <c:ptCount val="1"/>
                <c:pt idx="0">
                  <c:v>Y2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34824689978385354"/>
                  <c:y val="1.627167091213975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solidFill>
                          <a:schemeClr val="accent3">
                            <a:lumMod val="50000"/>
                          </a:schemeClr>
                        </a:solidFill>
                      </a:rPr>
                      <a:t>y = 0,2189x + 0,7811</a:t>
                    </a:r>
                    <a:endParaRPr lang="en-US">
                      <a:solidFill>
                        <a:schemeClr val="accent3">
                          <a:lumMod val="50000"/>
                        </a:schemeClr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'ABC Менеджеры сумма'!$G$7:$G$8</c:f>
              <c:numCache>
                <c:formatCode>0%</c:formatCode>
                <c:ptCount val="2"/>
                <c:pt idx="0">
                  <c:v>0.2</c:v>
                </c:pt>
                <c:pt idx="1">
                  <c:v>1</c:v>
                </c:pt>
              </c:numCache>
            </c:numRef>
          </c:xVal>
          <c:yVal>
            <c:numRef>
              <c:f>'ABC Менеджеры сумма'!$H$7:$H$8</c:f>
              <c:numCache>
                <c:formatCode>0%</c:formatCode>
                <c:ptCount val="2"/>
                <c:pt idx="0">
                  <c:v>0.8249043484112476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FF-411E-B5A3-B3AB3D3CAAF1}"/>
            </c:ext>
          </c:extLst>
        </c:ser>
        <c:ser>
          <c:idx val="5"/>
          <c:order val="3"/>
          <c:tx>
            <c:v> </c:v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bg1">
                      <a:lumMod val="50000"/>
                    </a:schemeClr>
                  </a:solidFill>
                  <a:prstDash val="sysDash"/>
                </a:ln>
                <a:effectLst/>
              </c:spPr>
            </c:marker>
            <c:bubble3D val="0"/>
            <c:spPr>
              <a:ln w="19050" cap="rnd">
                <a:solidFill>
                  <a:schemeClr val="bg1">
                    <a:lumMod val="50000"/>
                  </a:scheme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C8FF-411E-B5A3-B3AB3D3CAAF1}"/>
              </c:ext>
            </c:extLst>
          </c:dPt>
          <c:xVal>
            <c:numRef>
              <c:f>'ABC Менеджеры сумма'!$K$2:$K$3</c:f>
              <c:numCache>
                <c:formatCode>0.0%</c:formatCode>
                <c:ptCount val="2"/>
                <c:pt idx="0">
                  <c:v>0.2</c:v>
                </c:pt>
                <c:pt idx="1">
                  <c:v>0.2</c:v>
                </c:pt>
              </c:numCache>
            </c:numRef>
          </c:xVal>
          <c:yVal>
            <c:numRef>
              <c:f>'ABC Менеджеры сумма'!$L$2:$L$3</c:f>
              <c:numCache>
                <c:formatCode>0.0%</c:formatCode>
                <c:ptCount val="2"/>
                <c:pt idx="0">
                  <c:v>0.8249043484112476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8FF-411E-B5A3-B3AB3D3CAAF1}"/>
            </c:ext>
          </c:extLst>
        </c:ser>
        <c:ser>
          <c:idx val="6"/>
          <c:order val="4"/>
          <c:tx>
            <c:v> 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ysDash"/>
              </a:ln>
              <a:effectLst/>
            </c:spPr>
          </c:marker>
          <c:xVal>
            <c:numRef>
              <c:f>'ABC Менеджеры сумма'!$K$7:$K$8</c:f>
              <c:numCache>
                <c:formatCode>0.0%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xVal>
          <c:yVal>
            <c:numRef>
              <c:f>'ABC Менеджеры сумма'!$L$7:$L$8</c:f>
              <c:numCache>
                <c:formatCode>0.0%</c:formatCode>
                <c:ptCount val="2"/>
                <c:pt idx="0">
                  <c:v>0.95786539238001622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FF-411E-B5A3-B3AB3D3CAAF1}"/>
            </c:ext>
          </c:extLst>
        </c:ser>
        <c:ser>
          <c:idx val="4"/>
          <c:order val="5"/>
          <c:tx>
            <c:strRef>
              <c:f>'ABC Менеджеры сумма'!$K$6</c:f>
              <c:strCache>
                <c:ptCount val="1"/>
                <c:pt idx="0">
                  <c:v>Xb-c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'ABC Менеджеры сумма'!$K$7</c:f>
              <c:numCache>
                <c:formatCode>0.0%</c:formatCode>
                <c:ptCount val="1"/>
                <c:pt idx="0">
                  <c:v>0.5</c:v>
                </c:pt>
              </c:numCache>
            </c:numRef>
          </c:xVal>
          <c:yVal>
            <c:numRef>
              <c:f>'ABC Менеджеры сумма'!$L$7</c:f>
              <c:numCache>
                <c:formatCode>0.0%</c:formatCode>
                <c:ptCount val="1"/>
                <c:pt idx="0">
                  <c:v>0.95786539238001622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FF-411E-B5A3-B3AB3D3CAAF1}"/>
            </c:ext>
          </c:extLst>
        </c:ser>
        <c:ser>
          <c:idx val="2"/>
          <c:order val="6"/>
          <c:tx>
            <c:strRef>
              <c:f>'ABC Менеджеры сумма'!$K$1</c:f>
              <c:strCache>
                <c:ptCount val="1"/>
                <c:pt idx="0">
                  <c:v>Xa-bc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'ABC Менеджеры сумма'!$K$2</c:f>
              <c:numCache>
                <c:formatCode>0.0%</c:formatCode>
                <c:ptCount val="1"/>
                <c:pt idx="0">
                  <c:v>0.2</c:v>
                </c:pt>
              </c:numCache>
            </c:numRef>
          </c:xVal>
          <c:yVal>
            <c:numRef>
              <c:f>'ABC Менеджеры сумма'!$L$2</c:f>
              <c:numCache>
                <c:formatCode>0.0%</c:formatCode>
                <c:ptCount val="1"/>
                <c:pt idx="0">
                  <c:v>0.8249043484112476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FF-411E-B5A3-B3AB3D3CA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230504"/>
        <c:axId val="475233128"/>
      </c:scatterChart>
      <c:valAx>
        <c:axId val="475230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233128"/>
        <c:crosses val="autoZero"/>
        <c:crossBetween val="midCat"/>
      </c:valAx>
      <c:valAx>
        <c:axId val="475233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23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'ABC Менеджеры сделки '!$E$22</c:f>
              <c:strCache>
                <c:ptCount val="1"/>
                <c:pt idx="0">
                  <c:v>Y0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'ABC Менеджеры сделки '!$D$23:$D$42</c:f>
              <c:numCache>
                <c:formatCode>0.0%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xVal>
          <c:yVal>
            <c:numRef>
              <c:f>'ABC Менеджеры сделки '!$E$23:$E$42</c:f>
              <c:numCache>
                <c:formatCode>0.00%</c:formatCode>
                <c:ptCount val="20"/>
                <c:pt idx="0">
                  <c:v>0.32949790794979078</c:v>
                </c:pt>
                <c:pt idx="1">
                  <c:v>0.5094142259414226</c:v>
                </c:pt>
                <c:pt idx="2">
                  <c:v>0.62377963737796371</c:v>
                </c:pt>
                <c:pt idx="3">
                  <c:v>0.69944211994421202</c:v>
                </c:pt>
                <c:pt idx="4">
                  <c:v>0.7531380753138075</c:v>
                </c:pt>
                <c:pt idx="5">
                  <c:v>0.79776847977684795</c:v>
                </c:pt>
                <c:pt idx="6">
                  <c:v>0.8319386331938633</c:v>
                </c:pt>
                <c:pt idx="7">
                  <c:v>0.86297071129707115</c:v>
                </c:pt>
                <c:pt idx="8">
                  <c:v>0.88912133891213385</c:v>
                </c:pt>
                <c:pt idx="9">
                  <c:v>0.9117852161785216</c:v>
                </c:pt>
                <c:pt idx="10">
                  <c:v>0.93026499302649934</c:v>
                </c:pt>
                <c:pt idx="11">
                  <c:v>0.94700139470013944</c:v>
                </c:pt>
                <c:pt idx="12">
                  <c:v>0.96129707112970708</c:v>
                </c:pt>
                <c:pt idx="13">
                  <c:v>0.97210599721059976</c:v>
                </c:pt>
                <c:pt idx="14">
                  <c:v>0.97977684797768483</c:v>
                </c:pt>
                <c:pt idx="15">
                  <c:v>0.98570432357043236</c:v>
                </c:pt>
                <c:pt idx="16">
                  <c:v>0.99128312412831243</c:v>
                </c:pt>
                <c:pt idx="17">
                  <c:v>0.99476987447698739</c:v>
                </c:pt>
                <c:pt idx="18">
                  <c:v>0.99755927475592743</c:v>
                </c:pt>
                <c:pt idx="1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75-4DF2-80A8-635EFDE654B8}"/>
            </c:ext>
          </c:extLst>
        </c:ser>
        <c:ser>
          <c:idx val="1"/>
          <c:order val="1"/>
          <c:tx>
            <c:strRef>
              <c:f>'ABC Менеджеры сделки '!$I$2</c:f>
              <c:strCache>
                <c:ptCount val="1"/>
                <c:pt idx="0">
                  <c:v>Y1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8427266591676039"/>
                  <c:y val="-3.131375403635715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solidFill>
                          <a:srgbClr val="C00000"/>
                        </a:solidFill>
                      </a:rPr>
                      <a:t>y = x</a:t>
                    </a:r>
                    <a:endParaRPr lang="en-US">
                      <a:solidFill>
                        <a:srgbClr val="C0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'ABC Менеджеры сделки '!$H$3:$H$4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'ABC Менеджеры сделки '!$I$3:$I$4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75-4DF2-80A8-635EFDE654B8}"/>
            </c:ext>
          </c:extLst>
        </c:ser>
        <c:ser>
          <c:idx val="3"/>
          <c:order val="2"/>
          <c:tx>
            <c:strRef>
              <c:f>'ABC Менеджеры сделки '!$I$8</c:f>
              <c:strCache>
                <c:ptCount val="1"/>
                <c:pt idx="0">
                  <c:v>Y2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921583802024747"/>
                  <c:y val="3.347739720546877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solidFill>
                          <a:srgbClr val="7030A0"/>
                        </a:solidFill>
                      </a:rPr>
                      <a:t>y = 0,3291x + 0,6709</a:t>
                    </a:r>
                    <a:endParaRPr lang="en-US">
                      <a:solidFill>
                        <a:srgbClr val="7030A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'ABC Менеджеры сделки '!$H$9:$H$10</c:f>
              <c:numCache>
                <c:formatCode>0%</c:formatCode>
                <c:ptCount val="2"/>
                <c:pt idx="0" formatCode="0.0%">
                  <c:v>0.25</c:v>
                </c:pt>
                <c:pt idx="1">
                  <c:v>1</c:v>
                </c:pt>
              </c:numCache>
            </c:numRef>
          </c:xVal>
          <c:yVal>
            <c:numRef>
              <c:f>'ABC Менеджеры сделки '!$I$9:$I$10</c:f>
              <c:numCache>
                <c:formatCode>0%</c:formatCode>
                <c:ptCount val="2"/>
                <c:pt idx="0" formatCode="0.0%">
                  <c:v>0.7531380753138075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75-4DF2-80A8-635EFDE654B8}"/>
            </c:ext>
          </c:extLst>
        </c:ser>
        <c:ser>
          <c:idx val="5"/>
          <c:order val="3"/>
          <c:tx>
            <c:v> 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'ABC Менеджеры сделки '!$K$3:$K$4</c:f>
              <c:numCache>
                <c:formatCode>0.0%</c:formatCode>
                <c:ptCount val="2"/>
                <c:pt idx="0">
                  <c:v>0.25</c:v>
                </c:pt>
                <c:pt idx="1">
                  <c:v>0.25</c:v>
                </c:pt>
              </c:numCache>
            </c:numRef>
          </c:xVal>
          <c:yVal>
            <c:numRef>
              <c:f>'ABC Менеджеры сделки '!$L$3:$L$4</c:f>
              <c:numCache>
                <c:formatCode>0%</c:formatCode>
                <c:ptCount val="2"/>
                <c:pt idx="0" formatCode="0.0%">
                  <c:v>0.7531380753138075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75-4DF2-80A8-635EFDE654B8}"/>
            </c:ext>
          </c:extLst>
        </c:ser>
        <c:ser>
          <c:idx val="6"/>
          <c:order val="4"/>
          <c:tx>
            <c:v> 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'ABC Менеджеры сделки '!$K$9:$K$10</c:f>
              <c:numCache>
                <c:formatCode>0.0%</c:formatCode>
                <c:ptCount val="2"/>
                <c:pt idx="0">
                  <c:v>0.6</c:v>
                </c:pt>
                <c:pt idx="1">
                  <c:v>0.6</c:v>
                </c:pt>
              </c:numCache>
            </c:numRef>
          </c:xVal>
          <c:yVal>
            <c:numRef>
              <c:f>'ABC Менеджеры сделки '!$L$9:$L$10</c:f>
              <c:numCache>
                <c:formatCode>0%</c:formatCode>
                <c:ptCount val="2"/>
                <c:pt idx="0" formatCode="0.0%">
                  <c:v>0.94700139470013944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675-4DF2-80A8-635EFDE654B8}"/>
            </c:ext>
          </c:extLst>
        </c:ser>
        <c:ser>
          <c:idx val="4"/>
          <c:order val="5"/>
          <c:tx>
            <c:strRef>
              <c:f>'ABC Менеджеры сделки '!$K$8</c:f>
              <c:strCache>
                <c:ptCount val="1"/>
                <c:pt idx="0">
                  <c:v>Xb-c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'ABC Менеджеры сделки '!$K$9</c:f>
              <c:numCache>
                <c:formatCode>0.0%</c:formatCode>
                <c:ptCount val="1"/>
                <c:pt idx="0">
                  <c:v>0.6</c:v>
                </c:pt>
              </c:numCache>
            </c:numRef>
          </c:xVal>
          <c:yVal>
            <c:numRef>
              <c:f>'ABC Менеджеры сделки '!$L$9</c:f>
              <c:numCache>
                <c:formatCode>0.0%</c:formatCode>
                <c:ptCount val="1"/>
                <c:pt idx="0">
                  <c:v>0.94700139470013944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75-4DF2-80A8-635EFDE654B8}"/>
            </c:ext>
          </c:extLst>
        </c:ser>
        <c:ser>
          <c:idx val="2"/>
          <c:order val="6"/>
          <c:tx>
            <c:strRef>
              <c:f>'ABC Менеджеры сделки '!$K$2</c:f>
              <c:strCache>
                <c:ptCount val="1"/>
                <c:pt idx="0">
                  <c:v>Xa-bc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'ABC Менеджеры сделки '!$K$3</c:f>
              <c:numCache>
                <c:formatCode>0.0%</c:formatCode>
                <c:ptCount val="1"/>
                <c:pt idx="0">
                  <c:v>0.25</c:v>
                </c:pt>
              </c:numCache>
            </c:numRef>
          </c:xVal>
          <c:yVal>
            <c:numRef>
              <c:f>'ABC Менеджеры сделки '!$L$3</c:f>
              <c:numCache>
                <c:formatCode>0.0%</c:formatCode>
                <c:ptCount val="1"/>
                <c:pt idx="0">
                  <c:v>0.7531380753138075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75-4DF2-80A8-635EFDE6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5197880"/>
        <c:axId val="575738640"/>
      </c:scatterChart>
      <c:valAx>
        <c:axId val="465197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5738640"/>
        <c:crosses val="autoZero"/>
        <c:crossBetween val="midCat"/>
      </c:valAx>
      <c:valAx>
        <c:axId val="57573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5197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12424</xdr:rowOff>
    </xdr:from>
    <xdr:to>
      <xdr:col>5</xdr:col>
      <xdr:colOff>40169</xdr:colOff>
      <xdr:row>18</xdr:row>
      <xdr:rowOff>158612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9525</xdr:colOff>
      <xdr:row>19</xdr:row>
      <xdr:rowOff>28574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30480</xdr:rowOff>
    </xdr:from>
    <xdr:to>
      <xdr:col>8</xdr:col>
      <xdr:colOff>601980</xdr:colOff>
      <xdr:row>5</xdr:row>
      <xdr:rowOff>78922</xdr:rowOff>
    </xdr:to>
    <xdr:sp macro="" textlink="">
      <xdr:nvSpPr>
        <xdr:cNvPr id="2" name="TextBox 1"/>
        <xdr:cNvSpPr txBox="1"/>
      </xdr:nvSpPr>
      <xdr:spPr>
        <a:xfrm>
          <a:off x="0" y="30480"/>
          <a:ext cx="8244840" cy="962842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600" b="1">
              <a:solidFill>
                <a:srgbClr val="FF0000"/>
              </a:solidFill>
            </a:rPr>
            <a:t>!!! ЛИСТ СОДЕРЖИТ ПРИМЕР</a:t>
          </a:r>
          <a:r>
            <a:rPr lang="ru-RU" sz="1600" b="1" baseline="0">
              <a:solidFill>
                <a:srgbClr val="FF0000"/>
              </a:solidFill>
            </a:rPr>
            <a:t> РАСЧЕТА !!!</a:t>
          </a:r>
        </a:p>
        <a:p>
          <a:r>
            <a:rPr lang="ru-RU" sz="1600" b="1" baseline="0">
              <a:solidFill>
                <a:schemeClr val="accent6">
                  <a:lumMod val="75000"/>
                </a:schemeClr>
              </a:solidFill>
            </a:rPr>
            <a:t>НЕОБХОДИМО ЗАМЕНИТЬ ЗНАЧЕНИЯ В ЦВЕТНЫХ ЯЧЕЙКАХ СВОИМИ ДАННЫМИ</a:t>
          </a:r>
        </a:p>
        <a:p>
          <a:r>
            <a:rPr lang="ru-RU" sz="1600" b="1" baseline="0">
              <a:solidFill>
                <a:srgbClr val="FF0000"/>
              </a:solidFill>
            </a:rPr>
            <a:t>АДРЕСА ЯЧЕЕК НЕ ИЗМЕНТЬ !!!</a:t>
          </a:r>
          <a:endParaRPr lang="ru-RU" sz="1600" b="1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68580</xdr:colOff>
      <xdr:row>5</xdr:row>
      <xdr:rowOff>160020</xdr:rowOff>
    </xdr:from>
    <xdr:to>
      <xdr:col>16</xdr:col>
      <xdr:colOff>441960</xdr:colOff>
      <xdr:row>11</xdr:row>
      <xdr:rowOff>68580</xdr:rowOff>
    </xdr:to>
    <xdr:sp macro="" textlink="">
      <xdr:nvSpPr>
        <xdr:cNvPr id="3" name="TextBox 2"/>
        <xdr:cNvSpPr txBox="1"/>
      </xdr:nvSpPr>
      <xdr:spPr>
        <a:xfrm>
          <a:off x="7711440" y="1074420"/>
          <a:ext cx="5250180" cy="1371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Провести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ABC 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анализ по менеджерам (напротив каждого менеджера поставить два маркера)</a:t>
          </a:r>
          <a:r>
            <a:rPr lang="ru-RU"/>
            <a:t/>
          </a: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 по сумме продаж</a:t>
          </a:r>
          <a:r>
            <a:rPr lang="ru-RU"/>
            <a:t/>
          </a: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по количестсу сделок</a:t>
          </a:r>
          <a:r>
            <a:rPr lang="ru-RU"/>
            <a:t/>
          </a:r>
          <a:br>
            <a:rPr lang="ru-RU"/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ABC 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анализ по менеджерам сделать методом касательных (стром график или вычисляем аналитически на ваше усмотрение)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ru-RU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ru-RU"/>
            <a:t/>
          </a:r>
          <a:br>
            <a:rPr lang="ru-RU"/>
          </a:br>
          <a:endParaRPr lang="ru-RU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16</xdr:col>
      <xdr:colOff>11723</xdr:colOff>
      <xdr:row>11</xdr:row>
      <xdr:rowOff>0</xdr:rowOff>
    </xdr:to>
    <xdr:sp macro="" textlink="">
      <xdr:nvSpPr>
        <xdr:cNvPr id="3" name="TextBox 2"/>
        <xdr:cNvSpPr txBox="1"/>
      </xdr:nvSpPr>
      <xdr:spPr>
        <a:xfrm>
          <a:off x="11948160" y="182880"/>
          <a:ext cx="2450123" cy="201168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ABC 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строим</a:t>
          </a:r>
          <a: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по методу 80/15/2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ru-RU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&lt; 80%</a:t>
          </a:r>
        </a:p>
        <a:p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80 &lt;= B &lt;=95%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 &gt; 95%</a:t>
          </a:r>
          <a:endParaRPr lang="ru-RU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/>
            <a:t>XYZ</a:t>
          </a:r>
          <a:br>
            <a:rPr lang="en-US"/>
          </a:br>
          <a: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X &lt; 10%</a:t>
          </a:r>
          <a:endParaRPr lang="ru-RU">
            <a:effectLst/>
          </a:endParaRPr>
        </a:p>
        <a:p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&lt;= Y &lt;=25%</a:t>
          </a:r>
        </a:p>
        <a:p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Z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&gt; 25%</a:t>
          </a:r>
          <a:endParaRPr lang="ru-RU">
            <a:effectLst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renik Svichney" refreshedDate="46300.821497337965" createdVersion="6" refreshedVersion="6" minRefreshableVersion="3" recordCount="2869">
  <cacheSource type="worksheet">
    <worksheetSource ref="A1:D1048576" sheet="Данные"/>
  </cacheSource>
  <cacheFields count="7">
    <cacheField name="ФИО менеджера" numFmtId="0">
      <sharedItems containsBlank="1" count="21">
        <s v="Волков Дмитрий Романович"/>
        <s v="Егоров Илья Александрович"/>
        <s v="Иванова Анна Сергеевна"/>
        <s v="Козлов Алексей Михайлович"/>
        <s v="Лебедев Николай Олегович"/>
        <s v="Семенова Ирина Валерьевна"/>
        <s v="Ткаченко Андрей Олегович"/>
        <s v="Фролов Сергей Викторович"/>
        <s v="Яковлев Артем Игоревич"/>
        <s v="Орлов Павел Денисович"/>
        <s v="Павлова Татьяна Сергеевна"/>
        <s v="Морозова Елена Андреевна"/>
        <s v="Соколова Мария Ильинична"/>
        <s v="Кузнецов Максим Алексеевич"/>
        <s v="Новикова Ольга Викторовна"/>
        <s v="Смирнов Евгений Андреевич"/>
        <s v="Михайлова Алина Романовна"/>
        <s v="Васильева Дарья Павловна"/>
        <s v="Попов Кирилл Денисович"/>
        <s v="Федорова Ксения Максимовна"/>
        <m/>
      </sharedItems>
    </cacheField>
    <cacheField name="ФИО клиента" numFmtId="0">
      <sharedItems containsBlank="1" count="238">
        <s v="Григорьев Александр Денисович"/>
        <s v="Федорова Елена Романовна"/>
        <s v="Михайлов Илья Алексеевич"/>
        <s v="Степанова Ксения Ильинична"/>
        <s v="Сергеев Никита Денисович"/>
        <s v="Иванов Борис Максимович"/>
        <s v="Баранова Анна Дмитриевна"/>
        <s v="Лебедева Наталья Ильинична"/>
        <s v="Сергеева Светлана Ильинична"/>
        <s v="Васильева Людмила Антоновна"/>
        <s v="Павлов Федор Павлович"/>
        <s v="Семенов Игорь Федорович"/>
        <s v="Новиков Евгений Артемович"/>
        <s v="Смирнов Степан Артемович"/>
        <s v="Комаров Максим Кириллович"/>
        <s v="Кузнецова Анастасия Олеговна"/>
        <s v="Ковалев Никита Сергеевич"/>
        <s v="Степанова Виктория Ивановна"/>
        <s v="Макарова Валерия Олеговна"/>
        <s v="Смирнов Иван Владимирович"/>
        <s v="Романов Денис Викторович"/>
        <s v="Борисов Роман Викторович"/>
        <s v="Захаров Илья Кириллович"/>
        <s v="Макарова Виктория Владимировна"/>
        <s v="Попов Сергей Сергеевич"/>
        <s v="Воробьев Кирилл Борисович"/>
        <s v="Орлова Мария Владимировна"/>
        <s v="Зайцев Сергей Владимирович"/>
        <s v="Козлов Юрий Антонович"/>
        <s v="Николаева Алина Викторовна"/>
        <s v="Андреев Михаил Иванович"/>
        <s v="Морозова Софья Максимовна"/>
        <s v="Григорьева Светлана Игоревна"/>
        <s v="Павлов Виктор Сергеевич"/>
        <s v="Семенов Игорь Иванович"/>
        <s v="Ковалев Иван Викторович"/>
        <s v="Комарова Юлия Владимировна"/>
        <s v="Белова Наталья Игоревна"/>
        <s v="Семенов Дмитрий Михайлович"/>
        <s v="Козлов Игорь Михайлович"/>
        <s v="Куликов Артем Антонович"/>
        <s v="Тарасов Олег Викторович"/>
        <s v="Белова Марина Владимировна"/>
        <s v="Борисов Денис Игоревич"/>
        <s v="Никитин Роман Николаевич"/>
        <s v="Павлова Анастасия Денисовна"/>
        <s v="Сидоров Артем Алексеевич"/>
        <s v="Андреева Софья Романовна"/>
        <s v="Андреев Артем Николаевич"/>
        <s v="Романова Ирина Антоновна"/>
        <s v="Ковалев Кирилл Кириллович"/>
        <s v="Егорова Ирина Сергеевна"/>
        <s v="Иванова Елена Евгеньевна"/>
        <s v="Егорова Екатерина Михайловна"/>
        <s v="Козлов Федор Борисович"/>
        <s v="Алексеева Татьяна Андреевна"/>
        <s v="Иванов Олег Евгеньевич"/>
        <s v="Морозова Дарья Николаевна"/>
        <s v="Никитина Марина Ильинична"/>
        <s v="Сидоров Михаил Антонович"/>
        <s v="Сергеев Николай Антонович"/>
        <s v="Никитин Павел Евгеньевич"/>
        <s v="Никитина Алина Антоновна"/>
        <s v="Васильева Надежда Ильинична"/>
        <s v="Григорьев Евгений Антонович"/>
        <s v="Комаров Борис Борисович"/>
        <s v="Белова Екатерина Максимовна"/>
        <s v="Федорова Алина Ивановна"/>
        <s v="Зайцев Борис Михайлович"/>
        <s v="Яковлева Елена Юрьевна"/>
        <s v="Куликов Юрий Евгеньевич"/>
        <s v="Иванов Олег Михайлович"/>
        <s v="Морозова Александра Ивановна"/>
        <s v="Романов Иван Николаевич"/>
        <s v="Захаров Михаил Олегович"/>
        <s v="Андреева Татьяна Максимовна"/>
        <s v="Петрова Марина Николаевна"/>
        <s v="Яковлев Михаил Викторович"/>
        <s v="Кузнецова Наталья Антоновна"/>
        <s v="Соловьева Ольга Дмитриевна"/>
        <s v="Яковлев Сергей Викторович"/>
        <s v="Ковалева Дарья Александровна"/>
        <s v="Орлова Полина Ивановна"/>
        <s v="Сидоров Павел Артемович"/>
        <s v="Федоров Федор Антонович"/>
        <s v="Сидорова Софья Андреевна"/>
        <s v="Соколова Мария Олеговна"/>
        <s v="Баранов Артем Владимирович"/>
        <s v="Зайцев Андрей Антонович"/>
        <s v="Федоров Николай Антонович"/>
        <s v="Кузнецова Мария Дмитриевна"/>
        <s v="Михайлов Кирилл Павлович"/>
        <s v="Куликова Людмила Игоревна"/>
        <s v="Сидорова Софья Ильинична"/>
        <s v="Иванова Ксения Александровна"/>
        <s v="Волкова Светлана Романовна"/>
        <s v="Куликов Борис Максимович"/>
        <s v="Алексеева Анна Евгеньевна"/>
        <s v="Морозов Николай Иванович"/>
        <s v="Соловьев Кирилл Романович"/>
        <s v="Иванов Максим Евгеньевич"/>
        <s v="Сергеева Полина Павловна"/>
        <s v="Захарова Надежда Романовна"/>
        <s v="Семенова Валерия Романовна"/>
        <s v="Егорова Наталья Павловна"/>
        <s v="Михайлова Ольга Алексеевна"/>
        <s v="Никитина Татьяна Антоновна"/>
        <s v="Макарова Софья Михайловна"/>
        <s v="Николаев Федор Алексеевич"/>
        <s v="Куликова Ксения Игоревна"/>
        <s v="Васильева Людмила Денисовна"/>
        <s v="Яковлева Екатерина Дмитриевна"/>
        <s v="Петров Степан Александрович"/>
        <s v="Попова Надежда Павловна"/>
        <s v="Никитин Антон Сергеевич"/>
        <s v="Семенова Александра Ильинична"/>
        <s v="Яковлев Антон Антонович"/>
        <s v="Волкова Анастасия Денисовна"/>
        <s v="Макаров Илья Андреевич"/>
        <s v="Морозова Алина Викторовна"/>
        <s v="Федоров Роман Михайлович"/>
        <s v="Морозова Мария Павловна"/>
        <s v="Морозов Павел Романович"/>
        <s v="Тарасов Степан Михайлович"/>
        <s v="Макарова Дарья Алексеевна"/>
        <s v="Баранов Дмитрий Михайлович"/>
        <s v="Морозов Антон Дмитриевич"/>
        <s v="Кузнецов Денис Борисович"/>
        <s v="Зайцева Наталья Евгеньевна"/>
        <s v="Захарова Мария Андреевна"/>
        <s v="Романова Ксения Федоровна"/>
        <s v="Воробьев Дмитрий Николаевич"/>
        <s v="Сергеев Владимир Александрович"/>
        <s v="Иванова Елена Павловна"/>
        <s v="Никитина Юлия Алексеевна"/>
        <s v="Сидоров Дмитрий Кириллович"/>
        <s v="Белова Елена Денисовна"/>
        <s v="Николаева Татьяна Викторовна"/>
        <s v="Павлов Илья Федорович"/>
        <s v="Зайцев Федор Игоревич"/>
        <s v="Комарова Светлана Владимировна"/>
        <s v="Кузнецова Валерия Игоревна"/>
        <s v="Федорова Марина Александровна"/>
        <s v="Михайлова Виктория Андреевна"/>
        <s v="Новиков Артем Олегович"/>
        <s v="Тарасов Артем Евгеньевич"/>
        <s v="Белова Наталья Сергеевна"/>
        <s v="Никитин Антон Алексеевич"/>
        <s v="Сергеев Илья Денисович"/>
        <s v="Воробьев Юрий Ильич"/>
        <s v="Никитин Виктор Сергеевич"/>
        <s v="Павлова Наталья Антоновна"/>
        <s v="Николаева Ирина Максимовна"/>
        <s v="Яковлева Светлана Евгеньевна"/>
        <s v="Григорьев Николай Романович"/>
        <s v="Никитин Николай Андреевич"/>
        <s v="Волкова Марина Денисовна"/>
        <s v="Ковалев Владимир Романович"/>
        <s v="Семенова Валерия Павловна"/>
        <s v="Никитин Сергей Андреевич"/>
        <s v="Никитина Марина Денисовна"/>
        <s v="Семенова Людмила Павловна"/>
        <s v="Федорова Валерия Антоновна"/>
        <s v="Никитина Дарья Андреевна"/>
        <s v="Иванов Дмитрий Игоревич"/>
        <s v="Тарасова Елена Олеговна"/>
        <s v="Андреев Денис Федорович"/>
        <s v="Лебедева Ирина Федоровна"/>
        <s v="Борисов Владимир Игоревич"/>
        <s v="Андреева Екатерина Сергеевна"/>
        <s v="Волков Борис Игоревич"/>
        <s v="Кузнецова Алина Федоровна"/>
        <s v="Иванова Алина Андреевна"/>
        <s v="Яковлева Ольга Владимировна"/>
        <s v="Федоров Юрий Павлович"/>
        <s v="Соколов Андрей Евгеньевич"/>
        <s v="Яковлев Дмитрий Олегович"/>
        <s v="Михайлов Антон Иванович"/>
        <s v="Комаров Олег Олегович"/>
        <s v="Комарова Алина Романовна"/>
        <s v="Петрова Людмила Федоровна"/>
        <s v="Андреев Артем Борисович"/>
        <s v="Семенов Андрей Игоревич"/>
        <s v="Соколов Никита Ильич"/>
        <s v="Сидоров Виктор Алексеевич"/>
        <s v="Сидорова Софья Дмитриевна"/>
        <s v="Ковалев Кирилл Алексеевич"/>
        <s v="Иванов Владимир Алексеевич"/>
        <s v="Попова Анна Николаевна"/>
        <s v="Новиков Никита Артемович"/>
        <s v="Комарова Дарья Игоревна"/>
        <s v="Баранов Алексей Алексеевич"/>
        <s v="Воробьева Ирина Игоревна"/>
        <s v="Соловьев Сергей Николаевич"/>
        <s v="Макаров Алексей Андреевич"/>
        <s v="Орлова Валерия Евгеньевна"/>
        <s v="Новиков Вадим Борисович"/>
        <s v="Романов Кирилл Михайлович"/>
        <s v="Романов Алексей Владимирович"/>
        <s v="Сидорова Полина Александровна"/>
        <s v="Михайлов Игорь Иванович"/>
        <s v="Козлова Полина Антоновна"/>
        <s v="Васильев Андрей Михайлович"/>
        <s v="Тарасов Дмитрий Романович"/>
        <s v="Федорова Ольга Романовна"/>
        <s v="Михайлова Марина Ильинична"/>
        <s v="Орлова Татьяна Павловна"/>
        <s v="Козлова Екатерина Павловна"/>
        <s v="Кузнецова Юлия Павловна"/>
        <s v="Иванова Светлана Федоровна"/>
        <s v="Комарова Валерия Ивановна"/>
        <s v="Попов Сергей Артемович"/>
        <s v="Соловьева Анна Антоновна"/>
        <s v="Сидорова Мария Федоровна"/>
        <s v="Михайлова Виктория Антоновна"/>
        <s v="Егорова Светлана Николаевна"/>
        <s v="Воробьев Виктор Николаевич"/>
        <s v="Воробьев Александр Павлович"/>
        <s v="Сидорова Ксения Игоревна"/>
        <s v="Яковлев Виктор Денисович"/>
        <s v="Орлова Виктория Евгеньевна"/>
        <s v="Сергеев Игорь Ильич"/>
        <s v="Андреева Алина Максимовна"/>
        <s v="Борисов Сергей Александрович"/>
        <s v="Андреев Роман Федорович"/>
        <s v="Яковлева Татьяна Павловна"/>
        <s v="Федорова Анна Алексеевна"/>
        <s v="Васильев Михаил Александрович"/>
        <s v="Кузнецов Денис Сергеевич"/>
        <s v="Новиков Андрей Антонович"/>
        <s v="Макаров Илья Павлович"/>
        <s v="Попова Виктория Юрьевна"/>
        <s v="Степанов Артем Романович"/>
        <s v="Яковлева Александра Николаевна"/>
        <s v="Попова Валерия Сергеевна"/>
        <s v="Яковлев Александр Романович"/>
        <s v="Николаева Надежда Олеговна"/>
        <m/>
      </sharedItems>
    </cacheField>
    <cacheField name="Дата сделки" numFmtId="0">
      <sharedItems containsNonDate="0" containsDate="1" containsString="0" containsBlank="1" minDate="2026-01-01T00:00:00" maxDate="2026-09-01T00:00:00" count="24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m/>
      </sharedItems>
      <fieldGroup par="6" base="2">
        <rangePr groupBy="days" startDate="2026-01-01T00:00:00" endDate="2026-09-01T00:00:00"/>
        <groupItems count="368">
          <s v="(пусто)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1.09.2026"/>
        </groupItems>
      </fieldGroup>
    </cacheField>
    <cacheField name="Сумма сделки" numFmtId="0">
      <sharedItems containsString="0" containsBlank="1" containsNumber="1" containsInteger="1" minValue="5200" maxValue="63372"/>
    </cacheField>
    <cacheField name="N" numFmtId="0" formula="1" databaseField="0"/>
    <cacheField name=" N" numFmtId="0" formula="1" databaseField="0"/>
    <cacheField name="Месяцы" numFmtId="0" databaseField="0">
      <fieldGroup base="2">
        <rangePr groupBy="months" startDate="2026-01-01T00:00:00" endDate="2026-09-01T00:00:00"/>
        <groupItems count="14">
          <s v="&lt;01.01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1.09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renik Svichney" refreshedDate="46301.029192708331" createdVersion="6" refreshedVersion="6" minRefreshableVersion="3" recordCount="4957">
  <cacheSource type="worksheet">
    <worksheetSource ref="I1:M1048576" sheet="Клиенты XYZ"/>
  </cacheSource>
  <cacheFields count="5">
    <cacheField name="Клиент" numFmtId="0">
      <sharedItems containsBlank="1"/>
    </cacheField>
    <cacheField name="Вариации " numFmtId="0">
      <sharedItems containsString="0" containsBlank="1" containsNumber="1" minValue="1.1274456866522531E-2" maxValue="0.91699360338992741"/>
    </cacheField>
    <cacheField name="ABC" numFmtId="0">
      <sharedItems containsBlank="1" count="4">
        <s v="A"/>
        <s v="B"/>
        <s v="C"/>
        <m/>
      </sharedItems>
    </cacheField>
    <cacheField name="XYZ" numFmtId="0">
      <sharedItems containsBlank="1" count="4">
        <s v="X"/>
        <s v="Y"/>
        <s v="Z"/>
        <m/>
      </sharedItems>
    </cacheField>
    <cacheField name="Сумма" numFmtId="0">
      <sharedItems containsString="0" containsBlank="1" containsNumber="1" containsInteger="1" minValue="95435" maxValue="15989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869">
  <r>
    <x v="0"/>
    <x v="0"/>
    <x v="0"/>
    <n v="15148"/>
  </r>
  <r>
    <x v="1"/>
    <x v="1"/>
    <x v="0"/>
    <n v="14553"/>
  </r>
  <r>
    <x v="2"/>
    <x v="2"/>
    <x v="0"/>
    <n v="20048"/>
  </r>
  <r>
    <x v="2"/>
    <x v="3"/>
    <x v="0"/>
    <n v="48390"/>
  </r>
  <r>
    <x v="3"/>
    <x v="4"/>
    <x v="0"/>
    <n v="16020"/>
  </r>
  <r>
    <x v="4"/>
    <x v="5"/>
    <x v="0"/>
    <n v="14093"/>
  </r>
  <r>
    <x v="5"/>
    <x v="6"/>
    <x v="0"/>
    <n v="21995"/>
  </r>
  <r>
    <x v="5"/>
    <x v="7"/>
    <x v="0"/>
    <n v="5200"/>
  </r>
  <r>
    <x v="5"/>
    <x v="8"/>
    <x v="0"/>
    <n v="40292"/>
  </r>
  <r>
    <x v="6"/>
    <x v="9"/>
    <x v="0"/>
    <n v="19863"/>
  </r>
  <r>
    <x v="6"/>
    <x v="10"/>
    <x v="0"/>
    <n v="26488"/>
  </r>
  <r>
    <x v="6"/>
    <x v="11"/>
    <x v="0"/>
    <n v="27527"/>
  </r>
  <r>
    <x v="7"/>
    <x v="12"/>
    <x v="0"/>
    <n v="49397"/>
  </r>
  <r>
    <x v="7"/>
    <x v="13"/>
    <x v="0"/>
    <n v="50935"/>
  </r>
  <r>
    <x v="8"/>
    <x v="14"/>
    <x v="0"/>
    <n v="51053"/>
  </r>
  <r>
    <x v="8"/>
    <x v="15"/>
    <x v="0"/>
    <n v="39202"/>
  </r>
  <r>
    <x v="8"/>
    <x v="3"/>
    <x v="0"/>
    <n v="36260"/>
  </r>
  <r>
    <x v="0"/>
    <x v="16"/>
    <x v="1"/>
    <n v="20196"/>
  </r>
  <r>
    <x v="0"/>
    <x v="17"/>
    <x v="1"/>
    <n v="19494"/>
  </r>
  <r>
    <x v="2"/>
    <x v="18"/>
    <x v="1"/>
    <n v="30195"/>
  </r>
  <r>
    <x v="2"/>
    <x v="19"/>
    <x v="1"/>
    <n v="35045"/>
  </r>
  <r>
    <x v="9"/>
    <x v="20"/>
    <x v="1"/>
    <n v="22185"/>
  </r>
  <r>
    <x v="10"/>
    <x v="21"/>
    <x v="1"/>
    <n v="13729"/>
  </r>
  <r>
    <x v="6"/>
    <x v="22"/>
    <x v="1"/>
    <n v="55299"/>
  </r>
  <r>
    <x v="6"/>
    <x v="23"/>
    <x v="1"/>
    <n v="27364"/>
  </r>
  <r>
    <x v="6"/>
    <x v="24"/>
    <x v="1"/>
    <n v="28896"/>
  </r>
  <r>
    <x v="7"/>
    <x v="25"/>
    <x v="1"/>
    <n v="38584"/>
  </r>
  <r>
    <x v="7"/>
    <x v="26"/>
    <x v="1"/>
    <n v="42991"/>
  </r>
  <r>
    <x v="8"/>
    <x v="27"/>
    <x v="1"/>
    <n v="45969"/>
  </r>
  <r>
    <x v="8"/>
    <x v="28"/>
    <x v="1"/>
    <n v="34234"/>
  </r>
  <r>
    <x v="8"/>
    <x v="29"/>
    <x v="1"/>
    <n v="29086"/>
  </r>
  <r>
    <x v="2"/>
    <x v="30"/>
    <x v="2"/>
    <n v="40834"/>
  </r>
  <r>
    <x v="11"/>
    <x v="31"/>
    <x v="2"/>
    <n v="19030"/>
  </r>
  <r>
    <x v="9"/>
    <x v="32"/>
    <x v="2"/>
    <n v="35495"/>
  </r>
  <r>
    <x v="10"/>
    <x v="33"/>
    <x v="2"/>
    <n v="16343"/>
  </r>
  <r>
    <x v="5"/>
    <x v="34"/>
    <x v="2"/>
    <n v="15460"/>
  </r>
  <r>
    <x v="12"/>
    <x v="35"/>
    <x v="2"/>
    <n v="15637"/>
  </r>
  <r>
    <x v="6"/>
    <x v="36"/>
    <x v="2"/>
    <n v="28484"/>
  </r>
  <r>
    <x v="7"/>
    <x v="37"/>
    <x v="2"/>
    <n v="17798"/>
  </r>
  <r>
    <x v="7"/>
    <x v="38"/>
    <x v="2"/>
    <n v="30741"/>
  </r>
  <r>
    <x v="8"/>
    <x v="39"/>
    <x v="2"/>
    <n v="33605"/>
  </r>
  <r>
    <x v="8"/>
    <x v="14"/>
    <x v="2"/>
    <n v="38010"/>
  </r>
  <r>
    <x v="8"/>
    <x v="40"/>
    <x v="2"/>
    <n v="41612"/>
  </r>
  <r>
    <x v="8"/>
    <x v="41"/>
    <x v="2"/>
    <n v="48535"/>
  </r>
  <r>
    <x v="3"/>
    <x v="42"/>
    <x v="3"/>
    <n v="10474"/>
  </r>
  <r>
    <x v="3"/>
    <x v="43"/>
    <x v="3"/>
    <n v="12581"/>
  </r>
  <r>
    <x v="13"/>
    <x v="44"/>
    <x v="3"/>
    <n v="16355"/>
  </r>
  <r>
    <x v="12"/>
    <x v="45"/>
    <x v="3"/>
    <n v="24695"/>
  </r>
  <r>
    <x v="7"/>
    <x v="46"/>
    <x v="3"/>
    <n v="36793"/>
  </r>
  <r>
    <x v="8"/>
    <x v="47"/>
    <x v="3"/>
    <n v="36715"/>
  </r>
  <r>
    <x v="14"/>
    <x v="48"/>
    <x v="4"/>
    <n v="11600"/>
  </r>
  <r>
    <x v="9"/>
    <x v="49"/>
    <x v="4"/>
    <n v="21036"/>
  </r>
  <r>
    <x v="5"/>
    <x v="50"/>
    <x v="4"/>
    <n v="26644"/>
  </r>
  <r>
    <x v="6"/>
    <x v="51"/>
    <x v="4"/>
    <n v="28959"/>
  </r>
  <r>
    <x v="6"/>
    <x v="52"/>
    <x v="4"/>
    <n v="26463"/>
  </r>
  <r>
    <x v="7"/>
    <x v="53"/>
    <x v="4"/>
    <n v="38704"/>
  </r>
  <r>
    <x v="7"/>
    <x v="53"/>
    <x v="4"/>
    <n v="31595"/>
  </r>
  <r>
    <x v="7"/>
    <x v="54"/>
    <x v="4"/>
    <n v="43571"/>
  </r>
  <r>
    <x v="8"/>
    <x v="55"/>
    <x v="4"/>
    <n v="37674"/>
  </r>
  <r>
    <x v="8"/>
    <x v="56"/>
    <x v="4"/>
    <n v="43526"/>
  </r>
  <r>
    <x v="8"/>
    <x v="57"/>
    <x v="4"/>
    <n v="40517"/>
  </r>
  <r>
    <x v="8"/>
    <x v="58"/>
    <x v="4"/>
    <n v="42163"/>
  </r>
  <r>
    <x v="8"/>
    <x v="59"/>
    <x v="4"/>
    <n v="27940"/>
  </r>
  <r>
    <x v="2"/>
    <x v="60"/>
    <x v="5"/>
    <n v="41902"/>
  </r>
  <r>
    <x v="13"/>
    <x v="61"/>
    <x v="5"/>
    <n v="15169"/>
  </r>
  <r>
    <x v="4"/>
    <x v="62"/>
    <x v="5"/>
    <n v="8704"/>
  </r>
  <r>
    <x v="9"/>
    <x v="63"/>
    <x v="5"/>
    <n v="15646"/>
  </r>
  <r>
    <x v="5"/>
    <x v="64"/>
    <x v="5"/>
    <n v="23425"/>
  </r>
  <r>
    <x v="6"/>
    <x v="65"/>
    <x v="5"/>
    <n v="33963"/>
  </r>
  <r>
    <x v="7"/>
    <x v="26"/>
    <x v="5"/>
    <n v="32876"/>
  </r>
  <r>
    <x v="8"/>
    <x v="55"/>
    <x v="5"/>
    <n v="37684"/>
  </r>
  <r>
    <x v="8"/>
    <x v="66"/>
    <x v="5"/>
    <n v="44434"/>
  </r>
  <r>
    <x v="8"/>
    <x v="40"/>
    <x v="5"/>
    <n v="61437"/>
  </r>
  <r>
    <x v="8"/>
    <x v="58"/>
    <x v="5"/>
    <n v="60592"/>
  </r>
  <r>
    <x v="8"/>
    <x v="59"/>
    <x v="5"/>
    <n v="37307"/>
  </r>
  <r>
    <x v="8"/>
    <x v="67"/>
    <x v="5"/>
    <n v="46206"/>
  </r>
  <r>
    <x v="13"/>
    <x v="68"/>
    <x v="6"/>
    <n v="17415"/>
  </r>
  <r>
    <x v="13"/>
    <x v="69"/>
    <x v="6"/>
    <n v="13503"/>
  </r>
  <r>
    <x v="15"/>
    <x v="70"/>
    <x v="6"/>
    <n v="17676"/>
  </r>
  <r>
    <x v="7"/>
    <x v="71"/>
    <x v="6"/>
    <n v="34172"/>
  </r>
  <r>
    <x v="7"/>
    <x v="72"/>
    <x v="6"/>
    <n v="42553"/>
  </r>
  <r>
    <x v="7"/>
    <x v="73"/>
    <x v="6"/>
    <n v="32088"/>
  </r>
  <r>
    <x v="8"/>
    <x v="74"/>
    <x v="6"/>
    <n v="39367"/>
  </r>
  <r>
    <x v="8"/>
    <x v="39"/>
    <x v="6"/>
    <n v="30286"/>
  </r>
  <r>
    <x v="8"/>
    <x v="28"/>
    <x v="6"/>
    <n v="34976"/>
  </r>
  <r>
    <x v="2"/>
    <x v="75"/>
    <x v="7"/>
    <n v="21859"/>
  </r>
  <r>
    <x v="15"/>
    <x v="76"/>
    <x v="7"/>
    <n v="13698"/>
  </r>
  <r>
    <x v="6"/>
    <x v="77"/>
    <x v="7"/>
    <n v="22957"/>
  </r>
  <r>
    <x v="7"/>
    <x v="78"/>
    <x v="7"/>
    <n v="22616"/>
  </r>
  <r>
    <x v="7"/>
    <x v="79"/>
    <x v="7"/>
    <n v="32723"/>
  </r>
  <r>
    <x v="7"/>
    <x v="80"/>
    <x v="7"/>
    <n v="29083"/>
  </r>
  <r>
    <x v="8"/>
    <x v="66"/>
    <x v="7"/>
    <n v="42622"/>
  </r>
  <r>
    <x v="8"/>
    <x v="81"/>
    <x v="7"/>
    <n v="46656"/>
  </r>
  <r>
    <x v="8"/>
    <x v="82"/>
    <x v="7"/>
    <n v="50760"/>
  </r>
  <r>
    <x v="8"/>
    <x v="83"/>
    <x v="7"/>
    <n v="45881"/>
  </r>
  <r>
    <x v="8"/>
    <x v="84"/>
    <x v="7"/>
    <n v="30616"/>
  </r>
  <r>
    <x v="2"/>
    <x v="81"/>
    <x v="8"/>
    <n v="45500"/>
  </r>
  <r>
    <x v="11"/>
    <x v="85"/>
    <x v="8"/>
    <n v="30798"/>
  </r>
  <r>
    <x v="9"/>
    <x v="86"/>
    <x v="8"/>
    <n v="32537"/>
  </r>
  <r>
    <x v="7"/>
    <x v="87"/>
    <x v="8"/>
    <n v="28039"/>
  </r>
  <r>
    <x v="7"/>
    <x v="88"/>
    <x v="8"/>
    <n v="29424"/>
  </r>
  <r>
    <x v="8"/>
    <x v="47"/>
    <x v="8"/>
    <n v="36990"/>
  </r>
  <r>
    <x v="8"/>
    <x v="39"/>
    <x v="8"/>
    <n v="31048"/>
  </r>
  <r>
    <x v="8"/>
    <x v="57"/>
    <x v="8"/>
    <n v="37755"/>
  </r>
  <r>
    <x v="8"/>
    <x v="89"/>
    <x v="8"/>
    <n v="50455"/>
  </r>
  <r>
    <x v="2"/>
    <x v="90"/>
    <x v="9"/>
    <n v="31381"/>
  </r>
  <r>
    <x v="9"/>
    <x v="91"/>
    <x v="9"/>
    <n v="19022"/>
  </r>
  <r>
    <x v="12"/>
    <x v="92"/>
    <x v="9"/>
    <n v="5200"/>
  </r>
  <r>
    <x v="6"/>
    <x v="9"/>
    <x v="9"/>
    <n v="27291"/>
  </r>
  <r>
    <x v="7"/>
    <x v="73"/>
    <x v="9"/>
    <n v="26480"/>
  </r>
  <r>
    <x v="7"/>
    <x v="93"/>
    <x v="9"/>
    <n v="28237"/>
  </r>
  <r>
    <x v="8"/>
    <x v="94"/>
    <x v="9"/>
    <n v="32358"/>
  </r>
  <r>
    <x v="8"/>
    <x v="81"/>
    <x v="9"/>
    <n v="43385"/>
  </r>
  <r>
    <x v="2"/>
    <x v="95"/>
    <x v="10"/>
    <n v="44026"/>
  </r>
  <r>
    <x v="3"/>
    <x v="96"/>
    <x v="10"/>
    <n v="13405"/>
  </r>
  <r>
    <x v="13"/>
    <x v="97"/>
    <x v="10"/>
    <n v="11346"/>
  </r>
  <r>
    <x v="4"/>
    <x v="98"/>
    <x v="10"/>
    <n v="14479"/>
  </r>
  <r>
    <x v="16"/>
    <x v="99"/>
    <x v="10"/>
    <n v="15253"/>
  </r>
  <r>
    <x v="14"/>
    <x v="100"/>
    <x v="10"/>
    <n v="13001"/>
  </r>
  <r>
    <x v="14"/>
    <x v="101"/>
    <x v="10"/>
    <n v="15565"/>
  </r>
  <r>
    <x v="8"/>
    <x v="27"/>
    <x v="10"/>
    <n v="31639"/>
  </r>
  <r>
    <x v="8"/>
    <x v="102"/>
    <x v="10"/>
    <n v="32136"/>
  </r>
  <r>
    <x v="8"/>
    <x v="103"/>
    <x v="10"/>
    <n v="43656"/>
  </r>
  <r>
    <x v="8"/>
    <x v="41"/>
    <x v="10"/>
    <n v="43734"/>
  </r>
  <r>
    <x v="8"/>
    <x v="67"/>
    <x v="10"/>
    <n v="48703"/>
  </r>
  <r>
    <x v="0"/>
    <x v="104"/>
    <x v="11"/>
    <n v="16497"/>
  </r>
  <r>
    <x v="2"/>
    <x v="105"/>
    <x v="11"/>
    <n v="11732"/>
  </r>
  <r>
    <x v="13"/>
    <x v="106"/>
    <x v="11"/>
    <n v="21671"/>
  </r>
  <r>
    <x v="9"/>
    <x v="107"/>
    <x v="11"/>
    <n v="7501"/>
  </r>
  <r>
    <x v="5"/>
    <x v="108"/>
    <x v="11"/>
    <n v="28245"/>
  </r>
  <r>
    <x v="12"/>
    <x v="109"/>
    <x v="11"/>
    <n v="15023"/>
  </r>
  <r>
    <x v="6"/>
    <x v="110"/>
    <x v="11"/>
    <n v="8706"/>
  </r>
  <r>
    <x v="7"/>
    <x v="53"/>
    <x v="11"/>
    <n v="30318"/>
  </r>
  <r>
    <x v="7"/>
    <x v="78"/>
    <x v="11"/>
    <n v="33141"/>
  </r>
  <r>
    <x v="7"/>
    <x v="80"/>
    <x v="11"/>
    <n v="20155"/>
  </r>
  <r>
    <x v="7"/>
    <x v="111"/>
    <x v="11"/>
    <n v="45290"/>
  </r>
  <r>
    <x v="8"/>
    <x v="28"/>
    <x v="11"/>
    <n v="47349"/>
  </r>
  <r>
    <x v="8"/>
    <x v="112"/>
    <x v="11"/>
    <n v="49704"/>
  </r>
  <r>
    <x v="8"/>
    <x v="113"/>
    <x v="11"/>
    <n v="38028"/>
  </r>
  <r>
    <x v="8"/>
    <x v="83"/>
    <x v="11"/>
    <n v="36376"/>
  </r>
  <r>
    <x v="13"/>
    <x v="114"/>
    <x v="12"/>
    <n v="35642"/>
  </r>
  <r>
    <x v="9"/>
    <x v="115"/>
    <x v="12"/>
    <n v="21872"/>
  </r>
  <r>
    <x v="9"/>
    <x v="116"/>
    <x v="12"/>
    <n v="18868"/>
  </r>
  <r>
    <x v="6"/>
    <x v="117"/>
    <x v="12"/>
    <n v="22746"/>
  </r>
  <r>
    <x v="6"/>
    <x v="51"/>
    <x v="12"/>
    <n v="29444"/>
  </r>
  <r>
    <x v="7"/>
    <x v="118"/>
    <x v="12"/>
    <n v="31318"/>
  </r>
  <r>
    <x v="7"/>
    <x v="119"/>
    <x v="12"/>
    <n v="15869"/>
  </r>
  <r>
    <x v="8"/>
    <x v="120"/>
    <x v="12"/>
    <n v="50491"/>
  </r>
  <r>
    <x v="8"/>
    <x v="120"/>
    <x v="12"/>
    <n v="32718"/>
  </r>
  <r>
    <x v="13"/>
    <x v="121"/>
    <x v="13"/>
    <n v="18184"/>
  </r>
  <r>
    <x v="5"/>
    <x v="122"/>
    <x v="13"/>
    <n v="24889"/>
  </r>
  <r>
    <x v="5"/>
    <x v="123"/>
    <x v="13"/>
    <n v="22097"/>
  </r>
  <r>
    <x v="7"/>
    <x v="88"/>
    <x v="13"/>
    <n v="20178"/>
  </r>
  <r>
    <x v="7"/>
    <x v="124"/>
    <x v="13"/>
    <n v="53509"/>
  </r>
  <r>
    <x v="8"/>
    <x v="102"/>
    <x v="13"/>
    <n v="29017"/>
  </r>
  <r>
    <x v="8"/>
    <x v="15"/>
    <x v="13"/>
    <n v="42061"/>
  </r>
  <r>
    <x v="17"/>
    <x v="125"/>
    <x v="14"/>
    <n v="12933"/>
  </r>
  <r>
    <x v="2"/>
    <x v="82"/>
    <x v="14"/>
    <n v="47253"/>
  </r>
  <r>
    <x v="11"/>
    <x v="126"/>
    <x v="14"/>
    <n v="17150"/>
  </r>
  <r>
    <x v="5"/>
    <x v="127"/>
    <x v="14"/>
    <n v="27245"/>
  </r>
  <r>
    <x v="7"/>
    <x v="87"/>
    <x v="14"/>
    <n v="26927"/>
  </r>
  <r>
    <x v="7"/>
    <x v="46"/>
    <x v="14"/>
    <n v="35772"/>
  </r>
  <r>
    <x v="8"/>
    <x v="55"/>
    <x v="14"/>
    <n v="24908"/>
  </r>
  <r>
    <x v="8"/>
    <x v="128"/>
    <x v="14"/>
    <n v="24460"/>
  </r>
  <r>
    <x v="8"/>
    <x v="129"/>
    <x v="14"/>
    <n v="46735"/>
  </r>
  <r>
    <x v="8"/>
    <x v="102"/>
    <x v="14"/>
    <n v="31258"/>
  </r>
  <r>
    <x v="8"/>
    <x v="57"/>
    <x v="14"/>
    <n v="30586"/>
  </r>
  <r>
    <x v="8"/>
    <x v="57"/>
    <x v="14"/>
    <n v="45277"/>
  </r>
  <r>
    <x v="8"/>
    <x v="130"/>
    <x v="14"/>
    <n v="42668"/>
  </r>
  <r>
    <x v="2"/>
    <x v="131"/>
    <x v="15"/>
    <n v="28487"/>
  </r>
  <r>
    <x v="2"/>
    <x v="132"/>
    <x v="15"/>
    <n v="30381"/>
  </r>
  <r>
    <x v="5"/>
    <x v="133"/>
    <x v="15"/>
    <n v="18252"/>
  </r>
  <r>
    <x v="7"/>
    <x v="134"/>
    <x v="15"/>
    <n v="45249"/>
  </r>
  <r>
    <x v="7"/>
    <x v="135"/>
    <x v="15"/>
    <n v="54905"/>
  </r>
  <r>
    <x v="8"/>
    <x v="136"/>
    <x v="15"/>
    <n v="22111"/>
  </r>
  <r>
    <x v="8"/>
    <x v="39"/>
    <x v="15"/>
    <n v="48395"/>
  </r>
  <r>
    <x v="8"/>
    <x v="137"/>
    <x v="15"/>
    <n v="28644"/>
  </r>
  <r>
    <x v="8"/>
    <x v="138"/>
    <x v="15"/>
    <n v="29924"/>
  </r>
  <r>
    <x v="8"/>
    <x v="113"/>
    <x v="15"/>
    <n v="46557"/>
  </r>
  <r>
    <x v="2"/>
    <x v="139"/>
    <x v="16"/>
    <n v="11372"/>
  </r>
  <r>
    <x v="2"/>
    <x v="140"/>
    <x v="16"/>
    <n v="39134"/>
  </r>
  <r>
    <x v="9"/>
    <x v="141"/>
    <x v="16"/>
    <n v="16656"/>
  </r>
  <r>
    <x v="7"/>
    <x v="142"/>
    <x v="16"/>
    <n v="35873"/>
  </r>
  <r>
    <x v="8"/>
    <x v="143"/>
    <x v="16"/>
    <n v="30431"/>
  </r>
  <r>
    <x v="8"/>
    <x v="144"/>
    <x v="16"/>
    <n v="40775"/>
  </r>
  <r>
    <x v="8"/>
    <x v="59"/>
    <x v="16"/>
    <n v="36020"/>
  </r>
  <r>
    <x v="8"/>
    <x v="89"/>
    <x v="16"/>
    <n v="48006"/>
  </r>
  <r>
    <x v="2"/>
    <x v="145"/>
    <x v="17"/>
    <n v="35154"/>
  </r>
  <r>
    <x v="11"/>
    <x v="146"/>
    <x v="17"/>
    <n v="15830"/>
  </r>
  <r>
    <x v="9"/>
    <x v="147"/>
    <x v="17"/>
    <n v="19907"/>
  </r>
  <r>
    <x v="5"/>
    <x v="148"/>
    <x v="17"/>
    <n v="7291"/>
  </r>
  <r>
    <x v="8"/>
    <x v="149"/>
    <x v="17"/>
    <n v="35221"/>
  </r>
  <r>
    <x v="8"/>
    <x v="150"/>
    <x v="17"/>
    <n v="37917"/>
  </r>
  <r>
    <x v="5"/>
    <x v="151"/>
    <x v="18"/>
    <n v="23913"/>
  </r>
  <r>
    <x v="6"/>
    <x v="152"/>
    <x v="18"/>
    <n v="26021"/>
  </r>
  <r>
    <x v="8"/>
    <x v="113"/>
    <x v="18"/>
    <n v="33915"/>
  </r>
  <r>
    <x v="8"/>
    <x v="83"/>
    <x v="18"/>
    <n v="40505"/>
  </r>
  <r>
    <x v="8"/>
    <x v="41"/>
    <x v="18"/>
    <n v="47183"/>
  </r>
  <r>
    <x v="8"/>
    <x v="153"/>
    <x v="18"/>
    <n v="41696"/>
  </r>
  <r>
    <x v="2"/>
    <x v="154"/>
    <x v="19"/>
    <n v="52501"/>
  </r>
  <r>
    <x v="14"/>
    <x v="155"/>
    <x v="19"/>
    <n v="12644"/>
  </r>
  <r>
    <x v="7"/>
    <x v="156"/>
    <x v="19"/>
    <n v="33160"/>
  </r>
  <r>
    <x v="7"/>
    <x v="25"/>
    <x v="19"/>
    <n v="35050"/>
  </r>
  <r>
    <x v="7"/>
    <x v="72"/>
    <x v="19"/>
    <n v="37309"/>
  </r>
  <r>
    <x v="8"/>
    <x v="94"/>
    <x v="19"/>
    <n v="32843"/>
  </r>
  <r>
    <x v="8"/>
    <x v="157"/>
    <x v="19"/>
    <n v="34726"/>
  </r>
  <r>
    <x v="17"/>
    <x v="158"/>
    <x v="20"/>
    <n v="5200"/>
  </r>
  <r>
    <x v="0"/>
    <x v="159"/>
    <x v="20"/>
    <n v="20753"/>
  </r>
  <r>
    <x v="2"/>
    <x v="160"/>
    <x v="20"/>
    <n v="35157"/>
  </r>
  <r>
    <x v="2"/>
    <x v="161"/>
    <x v="20"/>
    <n v="33854"/>
  </r>
  <r>
    <x v="2"/>
    <x v="162"/>
    <x v="20"/>
    <n v="48555"/>
  </r>
  <r>
    <x v="18"/>
    <x v="163"/>
    <x v="20"/>
    <n v="10933"/>
  </r>
  <r>
    <x v="5"/>
    <x v="164"/>
    <x v="20"/>
    <n v="34036"/>
  </r>
  <r>
    <x v="5"/>
    <x v="165"/>
    <x v="20"/>
    <n v="23957"/>
  </r>
  <r>
    <x v="12"/>
    <x v="166"/>
    <x v="20"/>
    <n v="11790"/>
  </r>
  <r>
    <x v="12"/>
    <x v="167"/>
    <x v="20"/>
    <n v="14566"/>
  </r>
  <r>
    <x v="6"/>
    <x v="168"/>
    <x v="20"/>
    <n v="17482"/>
  </r>
  <r>
    <x v="7"/>
    <x v="25"/>
    <x v="20"/>
    <n v="46646"/>
  </r>
  <r>
    <x v="8"/>
    <x v="157"/>
    <x v="20"/>
    <n v="43079"/>
  </r>
  <r>
    <x v="8"/>
    <x v="39"/>
    <x v="20"/>
    <n v="30255"/>
  </r>
  <r>
    <x v="8"/>
    <x v="112"/>
    <x v="20"/>
    <n v="39355"/>
  </r>
  <r>
    <x v="8"/>
    <x v="130"/>
    <x v="20"/>
    <n v="34558"/>
  </r>
  <r>
    <x v="8"/>
    <x v="84"/>
    <x v="20"/>
    <n v="37514"/>
  </r>
  <r>
    <x v="2"/>
    <x v="169"/>
    <x v="21"/>
    <n v="23748"/>
  </r>
  <r>
    <x v="2"/>
    <x v="170"/>
    <x v="21"/>
    <n v="48482"/>
  </r>
  <r>
    <x v="2"/>
    <x v="171"/>
    <x v="21"/>
    <n v="36595"/>
  </r>
  <r>
    <x v="13"/>
    <x v="172"/>
    <x v="21"/>
    <n v="18175"/>
  </r>
  <r>
    <x v="4"/>
    <x v="173"/>
    <x v="21"/>
    <n v="13627"/>
  </r>
  <r>
    <x v="11"/>
    <x v="174"/>
    <x v="21"/>
    <n v="5778"/>
  </r>
  <r>
    <x v="10"/>
    <x v="175"/>
    <x v="21"/>
    <n v="14340"/>
  </r>
  <r>
    <x v="18"/>
    <x v="176"/>
    <x v="21"/>
    <n v="12072"/>
  </r>
  <r>
    <x v="12"/>
    <x v="177"/>
    <x v="21"/>
    <n v="14664"/>
  </r>
  <r>
    <x v="7"/>
    <x v="178"/>
    <x v="21"/>
    <n v="35093"/>
  </r>
  <r>
    <x v="7"/>
    <x v="179"/>
    <x v="21"/>
    <n v="45226"/>
  </r>
  <r>
    <x v="7"/>
    <x v="180"/>
    <x v="21"/>
    <n v="51271"/>
  </r>
  <r>
    <x v="7"/>
    <x v="79"/>
    <x v="21"/>
    <n v="25216"/>
  </r>
  <r>
    <x v="8"/>
    <x v="55"/>
    <x v="21"/>
    <n v="39963"/>
  </r>
  <r>
    <x v="8"/>
    <x v="55"/>
    <x v="21"/>
    <n v="30725"/>
  </r>
  <r>
    <x v="8"/>
    <x v="131"/>
    <x v="21"/>
    <n v="42277"/>
  </r>
  <r>
    <x v="8"/>
    <x v="27"/>
    <x v="21"/>
    <n v="40048"/>
  </r>
  <r>
    <x v="8"/>
    <x v="94"/>
    <x v="21"/>
    <n v="36898"/>
  </r>
  <r>
    <x v="8"/>
    <x v="130"/>
    <x v="21"/>
    <n v="42431"/>
  </r>
  <r>
    <x v="2"/>
    <x v="181"/>
    <x v="22"/>
    <n v="44121"/>
  </r>
  <r>
    <x v="2"/>
    <x v="182"/>
    <x v="22"/>
    <n v="31673"/>
  </r>
  <r>
    <x v="2"/>
    <x v="183"/>
    <x v="22"/>
    <n v="33790"/>
  </r>
  <r>
    <x v="11"/>
    <x v="184"/>
    <x v="22"/>
    <n v="18372"/>
  </r>
  <r>
    <x v="10"/>
    <x v="185"/>
    <x v="22"/>
    <n v="21920"/>
  </r>
  <r>
    <x v="5"/>
    <x v="186"/>
    <x v="22"/>
    <n v="22582"/>
  </r>
  <r>
    <x v="6"/>
    <x v="187"/>
    <x v="22"/>
    <n v="22190"/>
  </r>
  <r>
    <x v="6"/>
    <x v="188"/>
    <x v="22"/>
    <n v="8186"/>
  </r>
  <r>
    <x v="8"/>
    <x v="137"/>
    <x v="22"/>
    <n v="25989"/>
  </r>
  <r>
    <x v="8"/>
    <x v="3"/>
    <x v="22"/>
    <n v="51085"/>
  </r>
  <r>
    <x v="0"/>
    <x v="189"/>
    <x v="23"/>
    <n v="5200"/>
  </r>
  <r>
    <x v="2"/>
    <x v="190"/>
    <x v="23"/>
    <n v="32524"/>
  </r>
  <r>
    <x v="13"/>
    <x v="191"/>
    <x v="23"/>
    <n v="20860"/>
  </r>
  <r>
    <x v="4"/>
    <x v="192"/>
    <x v="23"/>
    <n v="14265"/>
  </r>
  <r>
    <x v="5"/>
    <x v="193"/>
    <x v="23"/>
    <n v="41514"/>
  </r>
  <r>
    <x v="7"/>
    <x v="170"/>
    <x v="23"/>
    <n v="48321"/>
  </r>
  <r>
    <x v="7"/>
    <x v="180"/>
    <x v="23"/>
    <n v="35125"/>
  </r>
  <r>
    <x v="8"/>
    <x v="194"/>
    <x v="23"/>
    <n v="39580"/>
  </r>
  <r>
    <x v="8"/>
    <x v="195"/>
    <x v="23"/>
    <n v="45110"/>
  </r>
  <r>
    <x v="8"/>
    <x v="135"/>
    <x v="23"/>
    <n v="45516"/>
  </r>
  <r>
    <x v="8"/>
    <x v="89"/>
    <x v="23"/>
    <n v="55366"/>
  </r>
  <r>
    <x v="2"/>
    <x v="196"/>
    <x v="24"/>
    <n v="9434"/>
  </r>
  <r>
    <x v="11"/>
    <x v="197"/>
    <x v="24"/>
    <n v="18302"/>
  </r>
  <r>
    <x v="9"/>
    <x v="198"/>
    <x v="24"/>
    <n v="21276"/>
  </r>
  <r>
    <x v="5"/>
    <x v="199"/>
    <x v="24"/>
    <n v="27150"/>
  </r>
  <r>
    <x v="19"/>
    <x v="200"/>
    <x v="24"/>
    <n v="13706"/>
  </r>
  <r>
    <x v="7"/>
    <x v="118"/>
    <x v="24"/>
    <n v="27107"/>
  </r>
  <r>
    <x v="2"/>
    <x v="201"/>
    <x v="25"/>
    <n v="35265"/>
  </r>
  <r>
    <x v="2"/>
    <x v="182"/>
    <x v="25"/>
    <n v="32757"/>
  </r>
  <r>
    <x v="13"/>
    <x v="202"/>
    <x v="25"/>
    <n v="20467"/>
  </r>
  <r>
    <x v="11"/>
    <x v="203"/>
    <x v="25"/>
    <n v="15287"/>
  </r>
  <r>
    <x v="11"/>
    <x v="204"/>
    <x v="25"/>
    <n v="35742"/>
  </r>
  <r>
    <x v="15"/>
    <x v="205"/>
    <x v="25"/>
    <n v="12423"/>
  </r>
  <r>
    <x v="7"/>
    <x v="156"/>
    <x v="25"/>
    <n v="32273"/>
  </r>
  <r>
    <x v="7"/>
    <x v="12"/>
    <x v="25"/>
    <n v="43470"/>
  </r>
  <r>
    <x v="7"/>
    <x v="38"/>
    <x v="25"/>
    <n v="49186"/>
  </r>
  <r>
    <x v="8"/>
    <x v="39"/>
    <x v="25"/>
    <n v="49405"/>
  </r>
  <r>
    <x v="8"/>
    <x v="144"/>
    <x v="25"/>
    <n v="41557"/>
  </r>
  <r>
    <x v="8"/>
    <x v="138"/>
    <x v="25"/>
    <n v="28712"/>
  </r>
  <r>
    <x v="8"/>
    <x v="112"/>
    <x v="25"/>
    <n v="37602"/>
  </r>
  <r>
    <x v="8"/>
    <x v="113"/>
    <x v="25"/>
    <n v="37471"/>
  </r>
  <r>
    <x v="8"/>
    <x v="41"/>
    <x v="25"/>
    <n v="36598"/>
  </r>
  <r>
    <x v="2"/>
    <x v="39"/>
    <x v="26"/>
    <n v="38850"/>
  </r>
  <r>
    <x v="4"/>
    <x v="206"/>
    <x v="26"/>
    <n v="15182"/>
  </r>
  <r>
    <x v="14"/>
    <x v="207"/>
    <x v="26"/>
    <n v="14931"/>
  </r>
  <r>
    <x v="14"/>
    <x v="208"/>
    <x v="26"/>
    <n v="13314"/>
  </r>
  <r>
    <x v="9"/>
    <x v="209"/>
    <x v="26"/>
    <n v="21016"/>
  </r>
  <r>
    <x v="5"/>
    <x v="165"/>
    <x v="26"/>
    <n v="24419"/>
  </r>
  <r>
    <x v="6"/>
    <x v="210"/>
    <x v="26"/>
    <n v="25793"/>
  </r>
  <r>
    <x v="6"/>
    <x v="24"/>
    <x v="26"/>
    <n v="26433"/>
  </r>
  <r>
    <x v="7"/>
    <x v="201"/>
    <x v="26"/>
    <n v="26621"/>
  </r>
  <r>
    <x v="7"/>
    <x v="211"/>
    <x v="26"/>
    <n v="58131"/>
  </r>
  <r>
    <x v="8"/>
    <x v="131"/>
    <x v="26"/>
    <n v="40200"/>
  </r>
  <r>
    <x v="8"/>
    <x v="27"/>
    <x v="26"/>
    <n v="36752"/>
  </r>
  <r>
    <x v="8"/>
    <x v="15"/>
    <x v="26"/>
    <n v="46893"/>
  </r>
  <r>
    <x v="8"/>
    <x v="144"/>
    <x v="26"/>
    <n v="37834"/>
  </r>
  <r>
    <x v="8"/>
    <x v="130"/>
    <x v="26"/>
    <n v="36901"/>
  </r>
  <r>
    <x v="8"/>
    <x v="103"/>
    <x v="26"/>
    <n v="38809"/>
  </r>
  <r>
    <x v="8"/>
    <x v="84"/>
    <x v="26"/>
    <n v="49080"/>
  </r>
  <r>
    <x v="0"/>
    <x v="212"/>
    <x v="27"/>
    <n v="5200"/>
  </r>
  <r>
    <x v="2"/>
    <x v="213"/>
    <x v="27"/>
    <n v="32724"/>
  </r>
  <r>
    <x v="13"/>
    <x v="214"/>
    <x v="27"/>
    <n v="17212"/>
  </r>
  <r>
    <x v="5"/>
    <x v="215"/>
    <x v="27"/>
    <n v="9778"/>
  </r>
  <r>
    <x v="6"/>
    <x v="216"/>
    <x v="27"/>
    <n v="26085"/>
  </r>
  <r>
    <x v="7"/>
    <x v="217"/>
    <x v="27"/>
    <n v="23965"/>
  </r>
  <r>
    <x v="7"/>
    <x v="93"/>
    <x v="27"/>
    <n v="24880"/>
  </r>
  <r>
    <x v="8"/>
    <x v="129"/>
    <x v="27"/>
    <n v="50879"/>
  </r>
  <r>
    <x v="8"/>
    <x v="150"/>
    <x v="27"/>
    <n v="35266"/>
  </r>
  <r>
    <x v="8"/>
    <x v="67"/>
    <x v="27"/>
    <n v="36555"/>
  </r>
  <r>
    <x v="0"/>
    <x v="218"/>
    <x v="28"/>
    <n v="14109"/>
  </r>
  <r>
    <x v="2"/>
    <x v="90"/>
    <x v="28"/>
    <n v="39899"/>
  </r>
  <r>
    <x v="9"/>
    <x v="219"/>
    <x v="28"/>
    <n v="14666"/>
  </r>
  <r>
    <x v="6"/>
    <x v="220"/>
    <x v="28"/>
    <n v="26280"/>
  </r>
  <r>
    <x v="6"/>
    <x v="221"/>
    <x v="28"/>
    <n v="21546"/>
  </r>
  <r>
    <x v="7"/>
    <x v="222"/>
    <x v="28"/>
    <n v="14987"/>
  </r>
  <r>
    <x v="7"/>
    <x v="71"/>
    <x v="28"/>
    <n v="35005"/>
  </r>
  <r>
    <x v="8"/>
    <x v="170"/>
    <x v="28"/>
    <n v="46400"/>
  </r>
  <r>
    <x v="8"/>
    <x v="131"/>
    <x v="28"/>
    <n v="40166"/>
  </r>
  <r>
    <x v="8"/>
    <x v="74"/>
    <x v="28"/>
    <n v="36079"/>
  </r>
  <r>
    <x v="8"/>
    <x v="157"/>
    <x v="28"/>
    <n v="39692"/>
  </r>
  <r>
    <x v="8"/>
    <x v="120"/>
    <x v="28"/>
    <n v="44370"/>
  </r>
  <r>
    <x v="0"/>
    <x v="223"/>
    <x v="29"/>
    <n v="15919"/>
  </r>
  <r>
    <x v="2"/>
    <x v="224"/>
    <x v="29"/>
    <n v="24852"/>
  </r>
  <r>
    <x v="3"/>
    <x v="225"/>
    <x v="29"/>
    <n v="28425"/>
  </r>
  <r>
    <x v="10"/>
    <x v="226"/>
    <x v="29"/>
    <n v="13357"/>
  </r>
  <r>
    <x v="12"/>
    <x v="227"/>
    <x v="29"/>
    <n v="14337"/>
  </r>
  <r>
    <x v="6"/>
    <x v="228"/>
    <x v="29"/>
    <n v="31290"/>
  </r>
  <r>
    <x v="6"/>
    <x v="229"/>
    <x v="29"/>
    <n v="40271"/>
  </r>
  <r>
    <x v="7"/>
    <x v="178"/>
    <x v="29"/>
    <n v="26803"/>
  </r>
  <r>
    <x v="7"/>
    <x v="230"/>
    <x v="29"/>
    <n v="40335"/>
  </r>
  <r>
    <x v="7"/>
    <x v="142"/>
    <x v="29"/>
    <n v="37149"/>
  </r>
  <r>
    <x v="8"/>
    <x v="47"/>
    <x v="29"/>
    <n v="39771"/>
  </r>
  <r>
    <x v="8"/>
    <x v="154"/>
    <x v="29"/>
    <n v="45476"/>
  </r>
  <r>
    <x v="8"/>
    <x v="128"/>
    <x v="29"/>
    <n v="35288"/>
  </r>
  <r>
    <x v="8"/>
    <x v="150"/>
    <x v="29"/>
    <n v="26562"/>
  </r>
  <r>
    <x v="0"/>
    <x v="231"/>
    <x v="30"/>
    <n v="31474"/>
  </r>
  <r>
    <x v="2"/>
    <x v="232"/>
    <x v="30"/>
    <n v="45987"/>
  </r>
  <r>
    <x v="2"/>
    <x v="233"/>
    <x v="30"/>
    <n v="42610"/>
  </r>
  <r>
    <x v="11"/>
    <x v="234"/>
    <x v="30"/>
    <n v="18149"/>
  </r>
  <r>
    <x v="6"/>
    <x v="235"/>
    <x v="30"/>
    <n v="36907"/>
  </r>
  <r>
    <x v="7"/>
    <x v="236"/>
    <x v="30"/>
    <n v="18096"/>
  </r>
  <r>
    <x v="8"/>
    <x v="55"/>
    <x v="30"/>
    <n v="28123"/>
  </r>
  <r>
    <x v="0"/>
    <x v="16"/>
    <x v="31"/>
    <n v="14272"/>
  </r>
  <r>
    <x v="2"/>
    <x v="233"/>
    <x v="31"/>
    <n v="40346"/>
  </r>
  <r>
    <x v="4"/>
    <x v="192"/>
    <x v="31"/>
    <n v="14936"/>
  </r>
  <r>
    <x v="11"/>
    <x v="197"/>
    <x v="31"/>
    <n v="18965"/>
  </r>
  <r>
    <x v="6"/>
    <x v="77"/>
    <x v="31"/>
    <n v="31086"/>
  </r>
  <r>
    <x v="7"/>
    <x v="201"/>
    <x v="31"/>
    <n v="31662"/>
  </r>
  <r>
    <x v="7"/>
    <x v="26"/>
    <x v="31"/>
    <n v="37575"/>
  </r>
  <r>
    <x v="7"/>
    <x v="80"/>
    <x v="31"/>
    <n v="26148"/>
  </r>
  <r>
    <x v="8"/>
    <x v="94"/>
    <x v="31"/>
    <n v="49332"/>
  </r>
  <r>
    <x v="0"/>
    <x v="35"/>
    <x v="32"/>
    <n v="16524"/>
  </r>
  <r>
    <x v="2"/>
    <x v="181"/>
    <x v="32"/>
    <n v="47713"/>
  </r>
  <r>
    <x v="2"/>
    <x v="18"/>
    <x v="32"/>
    <n v="35107"/>
  </r>
  <r>
    <x v="4"/>
    <x v="5"/>
    <x v="32"/>
    <n v="13726"/>
  </r>
  <r>
    <x v="9"/>
    <x v="49"/>
    <x v="32"/>
    <n v="22928"/>
  </r>
  <r>
    <x v="5"/>
    <x v="165"/>
    <x v="32"/>
    <n v="20966"/>
  </r>
  <r>
    <x v="6"/>
    <x v="187"/>
    <x v="32"/>
    <n v="22992"/>
  </r>
  <r>
    <x v="6"/>
    <x v="2"/>
    <x v="32"/>
    <n v="16308"/>
  </r>
  <r>
    <x v="6"/>
    <x v="152"/>
    <x v="32"/>
    <n v="25467"/>
  </r>
  <r>
    <x v="7"/>
    <x v="156"/>
    <x v="32"/>
    <n v="29899"/>
  </r>
  <r>
    <x v="8"/>
    <x v="30"/>
    <x v="32"/>
    <n v="46515"/>
  </r>
  <r>
    <x v="8"/>
    <x v="135"/>
    <x v="32"/>
    <n v="54190"/>
  </r>
  <r>
    <x v="8"/>
    <x v="59"/>
    <x v="32"/>
    <n v="27157"/>
  </r>
  <r>
    <x v="8"/>
    <x v="89"/>
    <x v="32"/>
    <n v="57282"/>
  </r>
  <r>
    <x v="0"/>
    <x v="223"/>
    <x v="33"/>
    <n v="15339"/>
  </r>
  <r>
    <x v="0"/>
    <x v="212"/>
    <x v="33"/>
    <n v="9982"/>
  </r>
  <r>
    <x v="2"/>
    <x v="196"/>
    <x v="33"/>
    <n v="19249"/>
  </r>
  <r>
    <x v="2"/>
    <x v="182"/>
    <x v="33"/>
    <n v="30053"/>
  </r>
  <r>
    <x v="2"/>
    <x v="60"/>
    <x v="33"/>
    <n v="42574"/>
  </r>
  <r>
    <x v="2"/>
    <x v="145"/>
    <x v="33"/>
    <n v="37481"/>
  </r>
  <r>
    <x v="13"/>
    <x v="69"/>
    <x v="33"/>
    <n v="34689"/>
  </r>
  <r>
    <x v="14"/>
    <x v="101"/>
    <x v="33"/>
    <n v="16251"/>
  </r>
  <r>
    <x v="9"/>
    <x v="168"/>
    <x v="33"/>
    <n v="6287"/>
  </r>
  <r>
    <x v="5"/>
    <x v="50"/>
    <x v="33"/>
    <n v="15360"/>
  </r>
  <r>
    <x v="7"/>
    <x v="144"/>
    <x v="33"/>
    <n v="34808"/>
  </r>
  <r>
    <x v="7"/>
    <x v="93"/>
    <x v="33"/>
    <n v="27021"/>
  </r>
  <r>
    <x v="8"/>
    <x v="55"/>
    <x v="33"/>
    <n v="41374"/>
  </r>
  <r>
    <x v="8"/>
    <x v="30"/>
    <x v="33"/>
    <n v="45347"/>
  </r>
  <r>
    <x v="0"/>
    <x v="218"/>
    <x v="34"/>
    <n v="11566"/>
  </r>
  <r>
    <x v="2"/>
    <x v="136"/>
    <x v="34"/>
    <n v="31752"/>
  </r>
  <r>
    <x v="13"/>
    <x v="191"/>
    <x v="34"/>
    <n v="14871"/>
  </r>
  <r>
    <x v="13"/>
    <x v="44"/>
    <x v="34"/>
    <n v="16913"/>
  </r>
  <r>
    <x v="13"/>
    <x v="116"/>
    <x v="34"/>
    <n v="17518"/>
  </r>
  <r>
    <x v="11"/>
    <x v="159"/>
    <x v="34"/>
    <n v="20197"/>
  </r>
  <r>
    <x v="9"/>
    <x v="86"/>
    <x v="34"/>
    <n v="12315"/>
  </r>
  <r>
    <x v="6"/>
    <x v="52"/>
    <x v="34"/>
    <n v="34355"/>
  </r>
  <r>
    <x v="6"/>
    <x v="65"/>
    <x v="34"/>
    <n v="33646"/>
  </r>
  <r>
    <x v="7"/>
    <x v="118"/>
    <x v="34"/>
    <n v="34763"/>
  </r>
  <r>
    <x v="8"/>
    <x v="170"/>
    <x v="34"/>
    <n v="36768"/>
  </r>
  <r>
    <x v="8"/>
    <x v="131"/>
    <x v="34"/>
    <n v="54973"/>
  </r>
  <r>
    <x v="8"/>
    <x v="128"/>
    <x v="34"/>
    <n v="45093"/>
  </r>
  <r>
    <x v="8"/>
    <x v="57"/>
    <x v="34"/>
    <n v="41574"/>
  </r>
  <r>
    <x v="8"/>
    <x v="138"/>
    <x v="34"/>
    <n v="33755"/>
  </r>
  <r>
    <x v="8"/>
    <x v="59"/>
    <x v="34"/>
    <n v="37022"/>
  </r>
  <r>
    <x v="8"/>
    <x v="41"/>
    <x v="34"/>
    <n v="38427"/>
  </r>
  <r>
    <x v="8"/>
    <x v="89"/>
    <x v="34"/>
    <n v="40126"/>
  </r>
  <r>
    <x v="2"/>
    <x v="139"/>
    <x v="35"/>
    <n v="33924"/>
  </r>
  <r>
    <x v="3"/>
    <x v="33"/>
    <x v="35"/>
    <n v="16951"/>
  </r>
  <r>
    <x v="13"/>
    <x v="121"/>
    <x v="35"/>
    <n v="15219"/>
  </r>
  <r>
    <x v="11"/>
    <x v="17"/>
    <x v="35"/>
    <n v="18486"/>
  </r>
  <r>
    <x v="10"/>
    <x v="185"/>
    <x v="35"/>
    <n v="25917"/>
  </r>
  <r>
    <x v="10"/>
    <x v="175"/>
    <x v="35"/>
    <n v="14493"/>
  </r>
  <r>
    <x v="10"/>
    <x v="226"/>
    <x v="35"/>
    <n v="13113"/>
  </r>
  <r>
    <x v="8"/>
    <x v="128"/>
    <x v="35"/>
    <n v="35513"/>
  </r>
  <r>
    <x v="8"/>
    <x v="128"/>
    <x v="35"/>
    <n v="39529"/>
  </r>
  <r>
    <x v="8"/>
    <x v="39"/>
    <x v="35"/>
    <n v="27749"/>
  </r>
  <r>
    <x v="8"/>
    <x v="14"/>
    <x v="35"/>
    <n v="47503"/>
  </r>
  <r>
    <x v="8"/>
    <x v="143"/>
    <x v="35"/>
    <n v="43387"/>
  </r>
  <r>
    <x v="8"/>
    <x v="120"/>
    <x v="35"/>
    <n v="47531"/>
  </r>
  <r>
    <x v="8"/>
    <x v="84"/>
    <x v="35"/>
    <n v="36718"/>
  </r>
  <r>
    <x v="1"/>
    <x v="1"/>
    <x v="36"/>
    <n v="14348"/>
  </r>
  <r>
    <x v="2"/>
    <x v="90"/>
    <x v="36"/>
    <n v="28283"/>
  </r>
  <r>
    <x v="2"/>
    <x v="143"/>
    <x v="36"/>
    <n v="54175"/>
  </r>
  <r>
    <x v="18"/>
    <x v="163"/>
    <x v="36"/>
    <n v="5918"/>
  </r>
  <r>
    <x v="6"/>
    <x v="36"/>
    <x v="36"/>
    <n v="27682"/>
  </r>
  <r>
    <x v="7"/>
    <x v="87"/>
    <x v="36"/>
    <n v="38173"/>
  </r>
  <r>
    <x v="7"/>
    <x v="79"/>
    <x v="36"/>
    <n v="26907"/>
  </r>
  <r>
    <x v="7"/>
    <x v="142"/>
    <x v="36"/>
    <n v="41036"/>
  </r>
  <r>
    <x v="8"/>
    <x v="30"/>
    <x v="36"/>
    <n v="45186"/>
  </r>
  <r>
    <x v="8"/>
    <x v="137"/>
    <x v="36"/>
    <n v="33446"/>
  </r>
  <r>
    <x v="11"/>
    <x v="184"/>
    <x v="37"/>
    <n v="17618"/>
  </r>
  <r>
    <x v="6"/>
    <x v="220"/>
    <x v="37"/>
    <n v="26244"/>
  </r>
  <r>
    <x v="7"/>
    <x v="178"/>
    <x v="37"/>
    <n v="29040"/>
  </r>
  <r>
    <x v="7"/>
    <x v="78"/>
    <x v="37"/>
    <n v="25766"/>
  </r>
  <r>
    <x v="8"/>
    <x v="143"/>
    <x v="37"/>
    <n v="47985"/>
  </r>
  <r>
    <x v="8"/>
    <x v="143"/>
    <x v="37"/>
    <n v="42054"/>
  </r>
  <r>
    <x v="8"/>
    <x v="113"/>
    <x v="37"/>
    <n v="32250"/>
  </r>
  <r>
    <x v="8"/>
    <x v="120"/>
    <x v="37"/>
    <n v="36839"/>
  </r>
  <r>
    <x v="2"/>
    <x v="149"/>
    <x v="38"/>
    <n v="32700"/>
  </r>
  <r>
    <x v="3"/>
    <x v="155"/>
    <x v="38"/>
    <n v="18508"/>
  </r>
  <r>
    <x v="11"/>
    <x v="126"/>
    <x v="38"/>
    <n v="15129"/>
  </r>
  <r>
    <x v="5"/>
    <x v="122"/>
    <x v="38"/>
    <n v="24597"/>
  </r>
  <r>
    <x v="7"/>
    <x v="118"/>
    <x v="38"/>
    <n v="36877"/>
  </r>
  <r>
    <x v="8"/>
    <x v="150"/>
    <x v="38"/>
    <n v="33570"/>
  </r>
  <r>
    <x v="8"/>
    <x v="113"/>
    <x v="38"/>
    <n v="38877"/>
  </r>
  <r>
    <x v="8"/>
    <x v="3"/>
    <x v="38"/>
    <n v="42292"/>
  </r>
  <r>
    <x v="8"/>
    <x v="67"/>
    <x v="38"/>
    <n v="59587"/>
  </r>
  <r>
    <x v="0"/>
    <x v="106"/>
    <x v="39"/>
    <n v="21905"/>
  </r>
  <r>
    <x v="2"/>
    <x v="94"/>
    <x v="39"/>
    <n v="47580"/>
  </r>
  <r>
    <x v="2"/>
    <x v="140"/>
    <x v="39"/>
    <n v="37234"/>
  </r>
  <r>
    <x v="2"/>
    <x v="132"/>
    <x v="39"/>
    <n v="31694"/>
  </r>
  <r>
    <x v="2"/>
    <x v="232"/>
    <x v="39"/>
    <n v="44854"/>
  </r>
  <r>
    <x v="4"/>
    <x v="206"/>
    <x v="39"/>
    <n v="15599"/>
  </r>
  <r>
    <x v="9"/>
    <x v="34"/>
    <x v="39"/>
    <n v="24131"/>
  </r>
  <r>
    <x v="6"/>
    <x v="11"/>
    <x v="39"/>
    <n v="27417"/>
  </r>
  <r>
    <x v="7"/>
    <x v="28"/>
    <x v="39"/>
    <n v="40388"/>
  </r>
  <r>
    <x v="8"/>
    <x v="15"/>
    <x v="39"/>
    <n v="36993"/>
  </r>
  <r>
    <x v="8"/>
    <x v="195"/>
    <x v="39"/>
    <n v="37495"/>
  </r>
  <r>
    <x v="8"/>
    <x v="82"/>
    <x v="39"/>
    <n v="42152"/>
  </r>
  <r>
    <x v="2"/>
    <x v="193"/>
    <x v="40"/>
    <n v="43149"/>
  </r>
  <r>
    <x v="3"/>
    <x v="43"/>
    <x v="40"/>
    <n v="12087"/>
  </r>
  <r>
    <x v="13"/>
    <x v="202"/>
    <x v="40"/>
    <n v="19897"/>
  </r>
  <r>
    <x v="13"/>
    <x v="141"/>
    <x v="40"/>
    <n v="20183"/>
  </r>
  <r>
    <x v="11"/>
    <x v="234"/>
    <x v="40"/>
    <n v="15685"/>
  </r>
  <r>
    <x v="5"/>
    <x v="186"/>
    <x v="40"/>
    <n v="22388"/>
  </r>
  <r>
    <x v="5"/>
    <x v="108"/>
    <x v="40"/>
    <n v="28024"/>
  </r>
  <r>
    <x v="5"/>
    <x v="151"/>
    <x v="40"/>
    <n v="24398"/>
  </r>
  <r>
    <x v="6"/>
    <x v="229"/>
    <x v="40"/>
    <n v="30492"/>
  </r>
  <r>
    <x v="7"/>
    <x v="53"/>
    <x v="40"/>
    <n v="12764"/>
  </r>
  <r>
    <x v="7"/>
    <x v="124"/>
    <x v="40"/>
    <n v="33250"/>
  </r>
  <r>
    <x v="7"/>
    <x v="73"/>
    <x v="40"/>
    <n v="28653"/>
  </r>
  <r>
    <x v="8"/>
    <x v="55"/>
    <x v="40"/>
    <n v="40518"/>
  </r>
  <r>
    <x v="8"/>
    <x v="131"/>
    <x v="40"/>
    <n v="42072"/>
  </r>
  <r>
    <x v="8"/>
    <x v="154"/>
    <x v="40"/>
    <n v="43689"/>
  </r>
  <r>
    <x v="8"/>
    <x v="150"/>
    <x v="40"/>
    <n v="35800"/>
  </r>
  <r>
    <x v="2"/>
    <x v="224"/>
    <x v="41"/>
    <n v="10255"/>
  </r>
  <r>
    <x v="2"/>
    <x v="90"/>
    <x v="41"/>
    <n v="22639"/>
  </r>
  <r>
    <x v="2"/>
    <x v="195"/>
    <x v="41"/>
    <n v="36400"/>
  </r>
  <r>
    <x v="2"/>
    <x v="213"/>
    <x v="41"/>
    <n v="24603"/>
  </r>
  <r>
    <x v="4"/>
    <x v="62"/>
    <x v="41"/>
    <n v="8319"/>
  </r>
  <r>
    <x v="9"/>
    <x v="20"/>
    <x v="41"/>
    <n v="18357"/>
  </r>
  <r>
    <x v="12"/>
    <x v="92"/>
    <x v="41"/>
    <n v="29322"/>
  </r>
  <r>
    <x v="6"/>
    <x v="162"/>
    <x v="41"/>
    <n v="48663"/>
  </r>
  <r>
    <x v="19"/>
    <x v="200"/>
    <x v="41"/>
    <n v="13794"/>
  </r>
  <r>
    <x v="7"/>
    <x v="230"/>
    <x v="41"/>
    <n v="41670"/>
  </r>
  <r>
    <x v="7"/>
    <x v="12"/>
    <x v="41"/>
    <n v="45406"/>
  </r>
  <r>
    <x v="7"/>
    <x v="211"/>
    <x v="41"/>
    <n v="34429"/>
  </r>
  <r>
    <x v="7"/>
    <x v="79"/>
    <x v="41"/>
    <n v="28240"/>
  </r>
  <r>
    <x v="7"/>
    <x v="111"/>
    <x v="41"/>
    <n v="29301"/>
  </r>
  <r>
    <x v="8"/>
    <x v="66"/>
    <x v="41"/>
    <n v="42420"/>
  </r>
  <r>
    <x v="8"/>
    <x v="137"/>
    <x v="41"/>
    <n v="28172"/>
  </r>
  <r>
    <x v="17"/>
    <x v="158"/>
    <x v="42"/>
    <n v="8172"/>
  </r>
  <r>
    <x v="2"/>
    <x v="56"/>
    <x v="42"/>
    <n v="22281"/>
  </r>
  <r>
    <x v="2"/>
    <x v="182"/>
    <x v="42"/>
    <n v="30786"/>
  </r>
  <r>
    <x v="11"/>
    <x v="203"/>
    <x v="42"/>
    <n v="13308"/>
  </r>
  <r>
    <x v="14"/>
    <x v="4"/>
    <x v="42"/>
    <n v="15537"/>
  </r>
  <r>
    <x v="5"/>
    <x v="165"/>
    <x v="42"/>
    <n v="28485"/>
  </r>
  <r>
    <x v="6"/>
    <x v="9"/>
    <x v="42"/>
    <n v="7506"/>
  </r>
  <r>
    <x v="6"/>
    <x v="51"/>
    <x v="42"/>
    <n v="13482"/>
  </r>
  <r>
    <x v="7"/>
    <x v="38"/>
    <x v="42"/>
    <n v="40330"/>
  </r>
  <r>
    <x v="8"/>
    <x v="55"/>
    <x v="42"/>
    <n v="28698"/>
  </r>
  <r>
    <x v="8"/>
    <x v="66"/>
    <x v="42"/>
    <n v="45379"/>
  </r>
  <r>
    <x v="8"/>
    <x v="15"/>
    <x v="42"/>
    <n v="36300"/>
  </r>
  <r>
    <x v="8"/>
    <x v="29"/>
    <x v="42"/>
    <n v="39900"/>
  </r>
  <r>
    <x v="8"/>
    <x v="112"/>
    <x v="42"/>
    <n v="38713"/>
  </r>
  <r>
    <x v="8"/>
    <x v="41"/>
    <x v="42"/>
    <n v="59620"/>
  </r>
  <r>
    <x v="0"/>
    <x v="31"/>
    <x v="43"/>
    <n v="18692"/>
  </r>
  <r>
    <x v="2"/>
    <x v="171"/>
    <x v="43"/>
    <n v="37761"/>
  </r>
  <r>
    <x v="4"/>
    <x v="98"/>
    <x v="43"/>
    <n v="14620"/>
  </r>
  <r>
    <x v="9"/>
    <x v="141"/>
    <x v="43"/>
    <n v="24803"/>
  </r>
  <r>
    <x v="9"/>
    <x v="198"/>
    <x v="43"/>
    <n v="21150"/>
  </r>
  <r>
    <x v="5"/>
    <x v="23"/>
    <x v="43"/>
    <n v="27363"/>
  </r>
  <r>
    <x v="12"/>
    <x v="109"/>
    <x v="43"/>
    <n v="15375"/>
  </r>
  <r>
    <x v="6"/>
    <x v="127"/>
    <x v="43"/>
    <n v="27461"/>
  </r>
  <r>
    <x v="7"/>
    <x v="26"/>
    <x v="43"/>
    <n v="40070"/>
  </r>
  <r>
    <x v="8"/>
    <x v="47"/>
    <x v="43"/>
    <n v="43502"/>
  </r>
  <r>
    <x v="8"/>
    <x v="131"/>
    <x v="43"/>
    <n v="46505"/>
  </r>
  <r>
    <x v="8"/>
    <x v="153"/>
    <x v="43"/>
    <n v="36084"/>
  </r>
  <r>
    <x v="2"/>
    <x v="128"/>
    <x v="44"/>
    <n v="42515"/>
  </r>
  <r>
    <x v="9"/>
    <x v="115"/>
    <x v="44"/>
    <n v="22877"/>
  </r>
  <r>
    <x v="5"/>
    <x v="6"/>
    <x v="44"/>
    <n v="21096"/>
  </r>
  <r>
    <x v="12"/>
    <x v="177"/>
    <x v="44"/>
    <n v="13549"/>
  </r>
  <r>
    <x v="6"/>
    <x v="117"/>
    <x v="44"/>
    <n v="20757"/>
  </r>
  <r>
    <x v="7"/>
    <x v="222"/>
    <x v="44"/>
    <n v="23285"/>
  </r>
  <r>
    <x v="7"/>
    <x v="180"/>
    <x v="44"/>
    <n v="41552"/>
  </r>
  <r>
    <x v="7"/>
    <x v="180"/>
    <x v="44"/>
    <n v="41561"/>
  </r>
  <r>
    <x v="8"/>
    <x v="157"/>
    <x v="44"/>
    <n v="41516"/>
  </r>
  <r>
    <x v="8"/>
    <x v="57"/>
    <x v="44"/>
    <n v="39913"/>
  </r>
  <r>
    <x v="8"/>
    <x v="160"/>
    <x v="44"/>
    <n v="36105"/>
  </r>
  <r>
    <x v="3"/>
    <x v="205"/>
    <x v="45"/>
    <n v="14842"/>
  </r>
  <r>
    <x v="9"/>
    <x v="91"/>
    <x v="45"/>
    <n v="19404"/>
  </r>
  <r>
    <x v="5"/>
    <x v="64"/>
    <x v="45"/>
    <n v="23859"/>
  </r>
  <r>
    <x v="5"/>
    <x v="164"/>
    <x v="45"/>
    <n v="15237"/>
  </r>
  <r>
    <x v="7"/>
    <x v="170"/>
    <x v="45"/>
    <n v="53984"/>
  </r>
  <r>
    <x v="7"/>
    <x v="22"/>
    <x v="45"/>
    <n v="55916"/>
  </r>
  <r>
    <x v="7"/>
    <x v="134"/>
    <x v="45"/>
    <n v="47249"/>
  </r>
  <r>
    <x v="8"/>
    <x v="55"/>
    <x v="45"/>
    <n v="32407"/>
  </r>
  <r>
    <x v="8"/>
    <x v="74"/>
    <x v="45"/>
    <n v="34180"/>
  </r>
  <r>
    <x v="8"/>
    <x v="82"/>
    <x v="45"/>
    <n v="53495"/>
  </r>
  <r>
    <x v="8"/>
    <x v="113"/>
    <x v="45"/>
    <n v="50457"/>
  </r>
  <r>
    <x v="8"/>
    <x v="83"/>
    <x v="45"/>
    <n v="18477"/>
  </r>
  <r>
    <x v="8"/>
    <x v="67"/>
    <x v="45"/>
    <n v="56193"/>
  </r>
  <r>
    <x v="8"/>
    <x v="142"/>
    <x v="45"/>
    <n v="30593"/>
  </r>
  <r>
    <x v="17"/>
    <x v="125"/>
    <x v="46"/>
    <n v="9957"/>
  </r>
  <r>
    <x v="2"/>
    <x v="27"/>
    <x v="46"/>
    <n v="45426"/>
  </r>
  <r>
    <x v="11"/>
    <x v="231"/>
    <x v="46"/>
    <n v="25669"/>
  </r>
  <r>
    <x v="11"/>
    <x v="174"/>
    <x v="46"/>
    <n v="27321"/>
  </r>
  <r>
    <x v="6"/>
    <x v="188"/>
    <x v="46"/>
    <n v="34630"/>
  </r>
  <r>
    <x v="7"/>
    <x v="137"/>
    <x v="46"/>
    <n v="40059"/>
  </r>
  <r>
    <x v="7"/>
    <x v="13"/>
    <x v="46"/>
    <n v="50335"/>
  </r>
  <r>
    <x v="7"/>
    <x v="80"/>
    <x v="46"/>
    <n v="24312"/>
  </r>
  <r>
    <x v="8"/>
    <x v="144"/>
    <x v="46"/>
    <n v="30098"/>
  </r>
  <r>
    <x v="8"/>
    <x v="135"/>
    <x v="46"/>
    <n v="38977"/>
  </r>
  <r>
    <x v="8"/>
    <x v="3"/>
    <x v="46"/>
    <n v="46549"/>
  </r>
  <r>
    <x v="0"/>
    <x v="104"/>
    <x v="47"/>
    <n v="16828"/>
  </r>
  <r>
    <x v="2"/>
    <x v="75"/>
    <x v="47"/>
    <n v="29446"/>
  </r>
  <r>
    <x v="2"/>
    <x v="139"/>
    <x v="47"/>
    <n v="41908"/>
  </r>
  <r>
    <x v="2"/>
    <x v="105"/>
    <x v="47"/>
    <n v="16202"/>
  </r>
  <r>
    <x v="2"/>
    <x v="161"/>
    <x v="47"/>
    <n v="38531"/>
  </r>
  <r>
    <x v="2"/>
    <x v="19"/>
    <x v="47"/>
    <n v="33667"/>
  </r>
  <r>
    <x v="14"/>
    <x v="208"/>
    <x v="47"/>
    <n v="11787"/>
  </r>
  <r>
    <x v="5"/>
    <x v="123"/>
    <x v="47"/>
    <n v="18931"/>
  </r>
  <r>
    <x v="8"/>
    <x v="47"/>
    <x v="47"/>
    <n v="31103"/>
  </r>
  <r>
    <x v="8"/>
    <x v="129"/>
    <x v="47"/>
    <n v="50073"/>
  </r>
  <r>
    <x v="8"/>
    <x v="157"/>
    <x v="47"/>
    <n v="58839"/>
  </r>
  <r>
    <x v="8"/>
    <x v="15"/>
    <x v="47"/>
    <n v="52036"/>
  </r>
  <r>
    <x v="8"/>
    <x v="40"/>
    <x v="47"/>
    <n v="45782"/>
  </r>
  <r>
    <x v="8"/>
    <x v="58"/>
    <x v="47"/>
    <n v="39346"/>
  </r>
  <r>
    <x v="8"/>
    <x v="130"/>
    <x v="47"/>
    <n v="52270"/>
  </r>
  <r>
    <x v="0"/>
    <x v="114"/>
    <x v="48"/>
    <n v="31491"/>
  </r>
  <r>
    <x v="2"/>
    <x v="3"/>
    <x v="48"/>
    <n v="45607"/>
  </r>
  <r>
    <x v="13"/>
    <x v="97"/>
    <x v="48"/>
    <n v="29016"/>
  </r>
  <r>
    <x v="14"/>
    <x v="48"/>
    <x v="48"/>
    <n v="24740"/>
  </r>
  <r>
    <x v="14"/>
    <x v="207"/>
    <x v="48"/>
    <n v="15917"/>
  </r>
  <r>
    <x v="9"/>
    <x v="63"/>
    <x v="48"/>
    <n v="24997"/>
  </r>
  <r>
    <x v="5"/>
    <x v="172"/>
    <x v="48"/>
    <n v="18460"/>
  </r>
  <r>
    <x v="15"/>
    <x v="70"/>
    <x v="48"/>
    <n v="15986"/>
  </r>
  <r>
    <x v="15"/>
    <x v="76"/>
    <x v="48"/>
    <n v="13731"/>
  </r>
  <r>
    <x v="6"/>
    <x v="216"/>
    <x v="48"/>
    <n v="34958"/>
  </r>
  <r>
    <x v="7"/>
    <x v="102"/>
    <x v="48"/>
    <n v="47343"/>
  </r>
  <r>
    <x v="7"/>
    <x v="72"/>
    <x v="48"/>
    <n v="37961"/>
  </r>
  <r>
    <x v="7"/>
    <x v="211"/>
    <x v="48"/>
    <n v="27976"/>
  </r>
  <r>
    <x v="2"/>
    <x v="56"/>
    <x v="49"/>
    <n v="23473"/>
  </r>
  <r>
    <x v="2"/>
    <x v="236"/>
    <x v="49"/>
    <n v="42769"/>
  </r>
  <r>
    <x v="2"/>
    <x v="183"/>
    <x v="49"/>
    <n v="36607"/>
  </r>
  <r>
    <x v="3"/>
    <x v="42"/>
    <x v="49"/>
    <n v="9867"/>
  </r>
  <r>
    <x v="12"/>
    <x v="96"/>
    <x v="49"/>
    <n v="14703"/>
  </r>
  <r>
    <x v="7"/>
    <x v="87"/>
    <x v="49"/>
    <n v="33880"/>
  </r>
  <r>
    <x v="7"/>
    <x v="88"/>
    <x v="49"/>
    <n v="26371"/>
  </r>
  <r>
    <x v="7"/>
    <x v="144"/>
    <x v="49"/>
    <n v="32692"/>
  </r>
  <r>
    <x v="8"/>
    <x v="57"/>
    <x v="49"/>
    <n v="39605"/>
  </r>
  <r>
    <x v="8"/>
    <x v="59"/>
    <x v="49"/>
    <n v="34207"/>
  </r>
  <r>
    <x v="9"/>
    <x v="209"/>
    <x v="50"/>
    <n v="18009"/>
  </r>
  <r>
    <x v="6"/>
    <x v="228"/>
    <x v="50"/>
    <n v="32585"/>
  </r>
  <r>
    <x v="7"/>
    <x v="156"/>
    <x v="50"/>
    <n v="40595"/>
  </r>
  <r>
    <x v="7"/>
    <x v="71"/>
    <x v="50"/>
    <n v="36026"/>
  </r>
  <r>
    <x v="7"/>
    <x v="71"/>
    <x v="50"/>
    <n v="37540"/>
  </r>
  <r>
    <x v="7"/>
    <x v="12"/>
    <x v="50"/>
    <n v="47639"/>
  </r>
  <r>
    <x v="8"/>
    <x v="131"/>
    <x v="50"/>
    <n v="35683"/>
  </r>
  <r>
    <x v="8"/>
    <x v="27"/>
    <x v="50"/>
    <n v="33065"/>
  </r>
  <r>
    <x v="8"/>
    <x v="28"/>
    <x v="50"/>
    <n v="37128"/>
  </r>
  <r>
    <x v="8"/>
    <x v="28"/>
    <x v="50"/>
    <n v="38650"/>
  </r>
  <r>
    <x v="8"/>
    <x v="57"/>
    <x v="50"/>
    <n v="41730"/>
  </r>
  <r>
    <x v="8"/>
    <x v="29"/>
    <x v="50"/>
    <n v="32905"/>
  </r>
  <r>
    <x v="8"/>
    <x v="138"/>
    <x v="50"/>
    <n v="31937"/>
  </r>
  <r>
    <x v="8"/>
    <x v="84"/>
    <x v="50"/>
    <n v="43843"/>
  </r>
  <r>
    <x v="0"/>
    <x v="0"/>
    <x v="51"/>
    <n v="14212"/>
  </r>
  <r>
    <x v="2"/>
    <x v="90"/>
    <x v="51"/>
    <n v="25888"/>
  </r>
  <r>
    <x v="9"/>
    <x v="107"/>
    <x v="51"/>
    <n v="29825"/>
  </r>
  <r>
    <x v="7"/>
    <x v="88"/>
    <x v="51"/>
    <n v="41656"/>
  </r>
  <r>
    <x v="7"/>
    <x v="54"/>
    <x v="51"/>
    <n v="17979"/>
  </r>
  <r>
    <x v="7"/>
    <x v="72"/>
    <x v="51"/>
    <n v="41294"/>
  </r>
  <r>
    <x v="8"/>
    <x v="143"/>
    <x v="51"/>
    <n v="37267"/>
  </r>
  <r>
    <x v="8"/>
    <x v="150"/>
    <x v="51"/>
    <n v="31864"/>
  </r>
  <r>
    <x v="8"/>
    <x v="58"/>
    <x v="51"/>
    <n v="35459"/>
  </r>
  <r>
    <x v="8"/>
    <x v="138"/>
    <x v="51"/>
    <n v="40349"/>
  </r>
  <r>
    <x v="2"/>
    <x v="103"/>
    <x v="52"/>
    <n v="34030"/>
  </r>
  <r>
    <x v="16"/>
    <x v="99"/>
    <x v="52"/>
    <n v="14786"/>
  </r>
  <r>
    <x v="11"/>
    <x v="204"/>
    <x v="52"/>
    <n v="12535"/>
  </r>
  <r>
    <x v="18"/>
    <x v="176"/>
    <x v="52"/>
    <n v="21461"/>
  </r>
  <r>
    <x v="12"/>
    <x v="227"/>
    <x v="52"/>
    <n v="9904"/>
  </r>
  <r>
    <x v="12"/>
    <x v="167"/>
    <x v="52"/>
    <n v="14604"/>
  </r>
  <r>
    <x v="7"/>
    <x v="78"/>
    <x v="52"/>
    <n v="27986"/>
  </r>
  <r>
    <x v="7"/>
    <x v="194"/>
    <x v="52"/>
    <n v="46053"/>
  </r>
  <r>
    <x v="7"/>
    <x v="38"/>
    <x v="52"/>
    <n v="33361"/>
  </r>
  <r>
    <x v="8"/>
    <x v="58"/>
    <x v="52"/>
    <n v="32097"/>
  </r>
  <r>
    <x v="8"/>
    <x v="113"/>
    <x v="52"/>
    <n v="36838"/>
  </r>
  <r>
    <x v="8"/>
    <x v="89"/>
    <x v="52"/>
    <n v="53564"/>
  </r>
  <r>
    <x v="4"/>
    <x v="173"/>
    <x v="53"/>
    <n v="14120"/>
  </r>
  <r>
    <x v="9"/>
    <x v="219"/>
    <x v="53"/>
    <n v="6542"/>
  </r>
  <r>
    <x v="7"/>
    <x v="178"/>
    <x v="53"/>
    <n v="34758"/>
  </r>
  <r>
    <x v="7"/>
    <x v="73"/>
    <x v="53"/>
    <n v="30260"/>
  </r>
  <r>
    <x v="7"/>
    <x v="46"/>
    <x v="53"/>
    <n v="38790"/>
  </r>
  <r>
    <x v="8"/>
    <x v="30"/>
    <x v="53"/>
    <n v="37717"/>
  </r>
  <r>
    <x v="8"/>
    <x v="30"/>
    <x v="53"/>
    <n v="39509"/>
  </r>
  <r>
    <x v="8"/>
    <x v="47"/>
    <x v="53"/>
    <n v="38002"/>
  </r>
  <r>
    <x v="8"/>
    <x v="47"/>
    <x v="53"/>
    <n v="40170"/>
  </r>
  <r>
    <x v="8"/>
    <x v="154"/>
    <x v="53"/>
    <n v="52409"/>
  </r>
  <r>
    <x v="8"/>
    <x v="27"/>
    <x v="53"/>
    <n v="40684"/>
  </r>
  <r>
    <x v="8"/>
    <x v="74"/>
    <x v="53"/>
    <n v="41687"/>
  </r>
  <r>
    <x v="8"/>
    <x v="81"/>
    <x v="53"/>
    <n v="55739"/>
  </r>
  <r>
    <x v="8"/>
    <x v="137"/>
    <x v="53"/>
    <n v="28617"/>
  </r>
  <r>
    <x v="8"/>
    <x v="112"/>
    <x v="53"/>
    <n v="42195"/>
  </r>
  <r>
    <x v="8"/>
    <x v="84"/>
    <x v="53"/>
    <n v="35320"/>
  </r>
  <r>
    <x v="0"/>
    <x v="189"/>
    <x v="54"/>
    <n v="32078"/>
  </r>
  <r>
    <x v="2"/>
    <x v="179"/>
    <x v="54"/>
    <n v="47156"/>
  </r>
  <r>
    <x v="13"/>
    <x v="68"/>
    <x v="54"/>
    <n v="18283"/>
  </r>
  <r>
    <x v="14"/>
    <x v="100"/>
    <x v="54"/>
    <n v="13034"/>
  </r>
  <r>
    <x v="5"/>
    <x v="215"/>
    <x v="54"/>
    <n v="23394"/>
  </r>
  <r>
    <x v="5"/>
    <x v="133"/>
    <x v="54"/>
    <n v="19351"/>
  </r>
  <r>
    <x v="5"/>
    <x v="7"/>
    <x v="54"/>
    <n v="34152"/>
  </r>
  <r>
    <x v="6"/>
    <x v="110"/>
    <x v="54"/>
    <n v="42656"/>
  </r>
  <r>
    <x v="6"/>
    <x v="221"/>
    <x v="54"/>
    <n v="34564"/>
  </r>
  <r>
    <x v="7"/>
    <x v="25"/>
    <x v="54"/>
    <n v="15532"/>
  </r>
  <r>
    <x v="7"/>
    <x v="93"/>
    <x v="54"/>
    <n v="29053"/>
  </r>
  <r>
    <x v="8"/>
    <x v="170"/>
    <x v="54"/>
    <n v="52049"/>
  </r>
  <r>
    <x v="8"/>
    <x v="130"/>
    <x v="54"/>
    <n v="42426"/>
  </r>
  <r>
    <x v="8"/>
    <x v="120"/>
    <x v="54"/>
    <n v="36574"/>
  </r>
  <r>
    <x v="2"/>
    <x v="18"/>
    <x v="55"/>
    <n v="29663"/>
  </r>
  <r>
    <x v="2"/>
    <x v="195"/>
    <x v="55"/>
    <n v="49274"/>
  </r>
  <r>
    <x v="10"/>
    <x v="225"/>
    <x v="55"/>
    <n v="23518"/>
  </r>
  <r>
    <x v="5"/>
    <x v="8"/>
    <x v="55"/>
    <n v="38356"/>
  </r>
  <r>
    <x v="8"/>
    <x v="14"/>
    <x v="55"/>
    <n v="42061"/>
  </r>
  <r>
    <x v="8"/>
    <x v="143"/>
    <x v="55"/>
    <n v="52385"/>
  </r>
  <r>
    <x v="8"/>
    <x v="138"/>
    <x v="55"/>
    <n v="43458"/>
  </r>
  <r>
    <x v="8"/>
    <x v="213"/>
    <x v="55"/>
    <n v="30055"/>
  </r>
  <r>
    <x v="2"/>
    <x v="95"/>
    <x v="56"/>
    <n v="30717"/>
  </r>
  <r>
    <x v="2"/>
    <x v="190"/>
    <x v="56"/>
    <n v="33313"/>
  </r>
  <r>
    <x v="10"/>
    <x v="21"/>
    <x v="56"/>
    <n v="14605"/>
  </r>
  <r>
    <x v="6"/>
    <x v="210"/>
    <x v="56"/>
    <n v="35174"/>
  </r>
  <r>
    <x v="6"/>
    <x v="235"/>
    <x v="56"/>
    <n v="33014"/>
  </r>
  <r>
    <x v="7"/>
    <x v="217"/>
    <x v="56"/>
    <n v="28045"/>
  </r>
  <r>
    <x v="0"/>
    <x v="85"/>
    <x v="57"/>
    <n v="12356"/>
  </r>
  <r>
    <x v="13"/>
    <x v="214"/>
    <x v="57"/>
    <n v="17605"/>
  </r>
  <r>
    <x v="13"/>
    <x v="61"/>
    <x v="57"/>
    <n v="20210"/>
  </r>
  <r>
    <x v="11"/>
    <x v="146"/>
    <x v="57"/>
    <n v="16165"/>
  </r>
  <r>
    <x v="9"/>
    <x v="147"/>
    <x v="57"/>
    <n v="20636"/>
  </r>
  <r>
    <x v="5"/>
    <x v="148"/>
    <x v="57"/>
    <n v="21358"/>
  </r>
  <r>
    <x v="5"/>
    <x v="199"/>
    <x v="57"/>
    <n v="25177"/>
  </r>
  <r>
    <x v="12"/>
    <x v="166"/>
    <x v="57"/>
    <n v="16589"/>
  </r>
  <r>
    <x v="12"/>
    <x v="45"/>
    <x v="57"/>
    <n v="27935"/>
  </r>
  <r>
    <x v="6"/>
    <x v="24"/>
    <x v="57"/>
    <n v="9312"/>
  </r>
  <r>
    <x v="7"/>
    <x v="119"/>
    <x v="57"/>
    <n v="23512"/>
  </r>
  <r>
    <x v="8"/>
    <x v="55"/>
    <x v="57"/>
    <n v="36047"/>
  </r>
  <r>
    <x v="8"/>
    <x v="30"/>
    <x v="57"/>
    <n v="51021"/>
  </r>
  <r>
    <x v="8"/>
    <x v="102"/>
    <x v="57"/>
    <n v="44094"/>
  </r>
  <r>
    <x v="2"/>
    <x v="75"/>
    <x v="58"/>
    <n v="30805"/>
  </r>
  <r>
    <x v="2"/>
    <x v="40"/>
    <x v="58"/>
    <n v="62665"/>
  </r>
  <r>
    <x v="9"/>
    <x v="32"/>
    <x v="58"/>
    <n v="5200"/>
  </r>
  <r>
    <x v="5"/>
    <x v="169"/>
    <x v="58"/>
    <n v="23505"/>
  </r>
  <r>
    <x v="6"/>
    <x v="10"/>
    <x v="58"/>
    <n v="27107"/>
  </r>
  <r>
    <x v="6"/>
    <x v="188"/>
    <x v="58"/>
    <n v="27787"/>
  </r>
  <r>
    <x v="7"/>
    <x v="37"/>
    <x v="58"/>
    <n v="40716"/>
  </r>
  <r>
    <x v="7"/>
    <x v="201"/>
    <x v="58"/>
    <n v="27074"/>
  </r>
  <r>
    <x v="7"/>
    <x v="124"/>
    <x v="58"/>
    <n v="46336"/>
  </r>
  <r>
    <x v="7"/>
    <x v="111"/>
    <x v="58"/>
    <n v="31410"/>
  </r>
  <r>
    <x v="8"/>
    <x v="136"/>
    <x v="58"/>
    <n v="24913"/>
  </r>
  <r>
    <x v="8"/>
    <x v="129"/>
    <x v="58"/>
    <n v="38463"/>
  </r>
  <r>
    <x v="8"/>
    <x v="112"/>
    <x v="58"/>
    <n v="36958"/>
  </r>
  <r>
    <x v="8"/>
    <x v="46"/>
    <x v="58"/>
    <n v="34140"/>
  </r>
  <r>
    <x v="8"/>
    <x v="41"/>
    <x v="58"/>
    <n v="40441"/>
  </r>
  <r>
    <x v="0"/>
    <x v="189"/>
    <x v="59"/>
    <n v="12810"/>
  </r>
  <r>
    <x v="3"/>
    <x v="33"/>
    <x v="59"/>
    <n v="16804"/>
  </r>
  <r>
    <x v="11"/>
    <x v="17"/>
    <x v="59"/>
    <n v="18783"/>
  </r>
  <r>
    <x v="7"/>
    <x v="87"/>
    <x v="59"/>
    <n v="43576"/>
  </r>
  <r>
    <x v="7"/>
    <x v="180"/>
    <x v="59"/>
    <n v="39674"/>
  </r>
  <r>
    <x v="8"/>
    <x v="131"/>
    <x v="59"/>
    <n v="34597"/>
  </r>
  <r>
    <x v="2"/>
    <x v="88"/>
    <x v="60"/>
    <n v="25911"/>
  </r>
  <r>
    <x v="2"/>
    <x v="194"/>
    <x v="60"/>
    <n v="33215"/>
  </r>
  <r>
    <x v="5"/>
    <x v="7"/>
    <x v="60"/>
    <n v="7033"/>
  </r>
  <r>
    <x v="7"/>
    <x v="201"/>
    <x v="60"/>
    <n v="28821"/>
  </r>
  <r>
    <x v="7"/>
    <x v="119"/>
    <x v="60"/>
    <n v="32610"/>
  </r>
  <r>
    <x v="7"/>
    <x v="13"/>
    <x v="60"/>
    <n v="49527"/>
  </r>
  <r>
    <x v="8"/>
    <x v="81"/>
    <x v="60"/>
    <n v="47508"/>
  </r>
  <r>
    <x v="8"/>
    <x v="81"/>
    <x v="60"/>
    <n v="34543"/>
  </r>
  <r>
    <x v="8"/>
    <x v="28"/>
    <x v="60"/>
    <n v="31915"/>
  </r>
  <r>
    <x v="8"/>
    <x v="135"/>
    <x v="60"/>
    <n v="42373"/>
  </r>
  <r>
    <x v="8"/>
    <x v="120"/>
    <x v="60"/>
    <n v="50913"/>
  </r>
  <r>
    <x v="2"/>
    <x v="224"/>
    <x v="61"/>
    <n v="26586"/>
  </r>
  <r>
    <x v="14"/>
    <x v="48"/>
    <x v="61"/>
    <n v="6042"/>
  </r>
  <r>
    <x v="14"/>
    <x v="100"/>
    <x v="61"/>
    <n v="13602"/>
  </r>
  <r>
    <x v="7"/>
    <x v="25"/>
    <x v="61"/>
    <n v="40719"/>
  </r>
  <r>
    <x v="7"/>
    <x v="90"/>
    <x v="61"/>
    <n v="29513"/>
  </r>
  <r>
    <x v="7"/>
    <x v="124"/>
    <x v="61"/>
    <n v="37821"/>
  </r>
  <r>
    <x v="7"/>
    <x v="93"/>
    <x v="61"/>
    <n v="29039"/>
  </r>
  <r>
    <x v="8"/>
    <x v="40"/>
    <x v="61"/>
    <n v="49696"/>
  </r>
  <r>
    <x v="8"/>
    <x v="143"/>
    <x v="61"/>
    <n v="40949"/>
  </r>
  <r>
    <x v="8"/>
    <x v="135"/>
    <x v="61"/>
    <n v="54320"/>
  </r>
  <r>
    <x v="8"/>
    <x v="84"/>
    <x v="61"/>
    <n v="34650"/>
  </r>
  <r>
    <x v="0"/>
    <x v="85"/>
    <x v="62"/>
    <n v="11643"/>
  </r>
  <r>
    <x v="13"/>
    <x v="69"/>
    <x v="62"/>
    <n v="10321"/>
  </r>
  <r>
    <x v="4"/>
    <x v="98"/>
    <x v="62"/>
    <n v="14270"/>
  </r>
  <r>
    <x v="11"/>
    <x v="234"/>
    <x v="62"/>
    <n v="17136"/>
  </r>
  <r>
    <x v="9"/>
    <x v="86"/>
    <x v="62"/>
    <n v="5200"/>
  </r>
  <r>
    <x v="5"/>
    <x v="10"/>
    <x v="62"/>
    <n v="28681"/>
  </r>
  <r>
    <x v="7"/>
    <x v="156"/>
    <x v="62"/>
    <n v="29163"/>
  </r>
  <r>
    <x v="7"/>
    <x v="73"/>
    <x v="62"/>
    <n v="26362"/>
  </r>
  <r>
    <x v="8"/>
    <x v="28"/>
    <x v="62"/>
    <n v="44714"/>
  </r>
  <r>
    <x v="8"/>
    <x v="144"/>
    <x v="62"/>
    <n v="42108"/>
  </r>
  <r>
    <x v="8"/>
    <x v="41"/>
    <x v="62"/>
    <n v="42927"/>
  </r>
  <r>
    <x v="8"/>
    <x v="84"/>
    <x v="62"/>
    <n v="41078"/>
  </r>
  <r>
    <x v="0"/>
    <x v="104"/>
    <x v="63"/>
    <n v="16103"/>
  </r>
  <r>
    <x v="13"/>
    <x v="121"/>
    <x v="63"/>
    <n v="21556"/>
  </r>
  <r>
    <x v="10"/>
    <x v="175"/>
    <x v="63"/>
    <n v="14832"/>
  </r>
  <r>
    <x v="5"/>
    <x v="122"/>
    <x v="63"/>
    <n v="24241"/>
  </r>
  <r>
    <x v="5"/>
    <x v="8"/>
    <x v="63"/>
    <n v="5674"/>
  </r>
  <r>
    <x v="5"/>
    <x v="123"/>
    <x v="63"/>
    <n v="29033"/>
  </r>
  <r>
    <x v="12"/>
    <x v="208"/>
    <x v="63"/>
    <n v="32395"/>
  </r>
  <r>
    <x v="12"/>
    <x v="109"/>
    <x v="63"/>
    <n v="18776"/>
  </r>
  <r>
    <x v="8"/>
    <x v="29"/>
    <x v="63"/>
    <n v="44563"/>
  </r>
  <r>
    <x v="8"/>
    <x v="138"/>
    <x v="63"/>
    <n v="20339"/>
  </r>
  <r>
    <x v="8"/>
    <x v="112"/>
    <x v="63"/>
    <n v="38353"/>
  </r>
  <r>
    <x v="8"/>
    <x v="3"/>
    <x v="63"/>
    <n v="46478"/>
  </r>
  <r>
    <x v="8"/>
    <x v="41"/>
    <x v="63"/>
    <n v="46880"/>
  </r>
  <r>
    <x v="4"/>
    <x v="43"/>
    <x v="64"/>
    <n v="26770"/>
  </r>
  <r>
    <x v="9"/>
    <x v="141"/>
    <x v="64"/>
    <n v="26918"/>
  </r>
  <r>
    <x v="5"/>
    <x v="105"/>
    <x v="64"/>
    <n v="44365"/>
  </r>
  <r>
    <x v="5"/>
    <x v="199"/>
    <x v="64"/>
    <n v="26230"/>
  </r>
  <r>
    <x v="5"/>
    <x v="165"/>
    <x v="64"/>
    <n v="23551"/>
  </r>
  <r>
    <x v="6"/>
    <x v="187"/>
    <x v="64"/>
    <n v="27614"/>
  </r>
  <r>
    <x v="6"/>
    <x v="210"/>
    <x v="64"/>
    <n v="34364"/>
  </r>
  <r>
    <x v="7"/>
    <x v="119"/>
    <x v="64"/>
    <n v="31447"/>
  </r>
  <r>
    <x v="7"/>
    <x v="93"/>
    <x v="64"/>
    <n v="25360"/>
  </r>
  <r>
    <x v="8"/>
    <x v="47"/>
    <x v="64"/>
    <n v="27226"/>
  </r>
  <r>
    <x v="8"/>
    <x v="29"/>
    <x v="64"/>
    <n v="39877"/>
  </r>
  <r>
    <x v="8"/>
    <x v="137"/>
    <x v="64"/>
    <n v="34043"/>
  </r>
  <r>
    <x v="8"/>
    <x v="144"/>
    <x v="64"/>
    <n v="40857"/>
  </r>
  <r>
    <x v="8"/>
    <x v="113"/>
    <x v="64"/>
    <n v="41366"/>
  </r>
  <r>
    <x v="0"/>
    <x v="202"/>
    <x v="65"/>
    <n v="20154"/>
  </r>
  <r>
    <x v="2"/>
    <x v="140"/>
    <x v="65"/>
    <n v="37624"/>
  </r>
  <r>
    <x v="4"/>
    <x v="192"/>
    <x v="65"/>
    <n v="14862"/>
  </r>
  <r>
    <x v="9"/>
    <x v="106"/>
    <x v="65"/>
    <n v="21233"/>
  </r>
  <r>
    <x v="6"/>
    <x v="179"/>
    <x v="65"/>
    <n v="27858"/>
  </r>
  <r>
    <x v="8"/>
    <x v="55"/>
    <x v="65"/>
    <n v="28435"/>
  </r>
  <r>
    <x v="8"/>
    <x v="195"/>
    <x v="65"/>
    <n v="29999"/>
  </r>
  <r>
    <x v="8"/>
    <x v="112"/>
    <x v="65"/>
    <n v="41943"/>
  </r>
  <r>
    <x v="2"/>
    <x v="95"/>
    <x v="66"/>
    <n v="33852"/>
  </r>
  <r>
    <x v="2"/>
    <x v="213"/>
    <x v="66"/>
    <n v="7193"/>
  </r>
  <r>
    <x v="2"/>
    <x v="3"/>
    <x v="66"/>
    <n v="44417"/>
  </r>
  <r>
    <x v="9"/>
    <x v="107"/>
    <x v="66"/>
    <n v="5994"/>
  </r>
  <r>
    <x v="15"/>
    <x v="70"/>
    <x v="66"/>
    <n v="17564"/>
  </r>
  <r>
    <x v="7"/>
    <x v="222"/>
    <x v="66"/>
    <n v="31715"/>
  </r>
  <r>
    <x v="7"/>
    <x v="222"/>
    <x v="66"/>
    <n v="27129"/>
  </r>
  <r>
    <x v="7"/>
    <x v="154"/>
    <x v="66"/>
    <n v="47240"/>
  </r>
  <r>
    <x v="7"/>
    <x v="80"/>
    <x v="66"/>
    <n v="20771"/>
  </r>
  <r>
    <x v="8"/>
    <x v="55"/>
    <x v="66"/>
    <n v="35148"/>
  </r>
  <r>
    <x v="8"/>
    <x v="102"/>
    <x v="66"/>
    <n v="50332"/>
  </r>
  <r>
    <x v="8"/>
    <x v="39"/>
    <x v="66"/>
    <n v="40465"/>
  </r>
  <r>
    <x v="2"/>
    <x v="94"/>
    <x v="67"/>
    <n v="48953"/>
  </r>
  <r>
    <x v="2"/>
    <x v="190"/>
    <x v="67"/>
    <n v="32132"/>
  </r>
  <r>
    <x v="2"/>
    <x v="105"/>
    <x v="67"/>
    <n v="40413"/>
  </r>
  <r>
    <x v="2"/>
    <x v="57"/>
    <x v="67"/>
    <n v="32045"/>
  </r>
  <r>
    <x v="4"/>
    <x v="5"/>
    <x v="67"/>
    <n v="14249"/>
  </r>
  <r>
    <x v="4"/>
    <x v="173"/>
    <x v="67"/>
    <n v="9946"/>
  </r>
  <r>
    <x v="16"/>
    <x v="200"/>
    <x v="67"/>
    <n v="12819"/>
  </r>
  <r>
    <x v="14"/>
    <x v="226"/>
    <x v="67"/>
    <n v="12895"/>
  </r>
  <r>
    <x v="6"/>
    <x v="51"/>
    <x v="67"/>
    <n v="30720"/>
  </r>
  <r>
    <x v="7"/>
    <x v="217"/>
    <x v="67"/>
    <n v="33956"/>
  </r>
  <r>
    <x v="7"/>
    <x v="38"/>
    <x v="67"/>
    <n v="34086"/>
  </r>
  <r>
    <x v="8"/>
    <x v="55"/>
    <x v="67"/>
    <n v="37299"/>
  </r>
  <r>
    <x v="8"/>
    <x v="27"/>
    <x v="67"/>
    <n v="52853"/>
  </r>
  <r>
    <x v="8"/>
    <x v="39"/>
    <x v="67"/>
    <n v="39755"/>
  </r>
  <r>
    <x v="8"/>
    <x v="82"/>
    <x v="67"/>
    <n v="37746"/>
  </r>
  <r>
    <x v="8"/>
    <x v="130"/>
    <x v="67"/>
    <n v="32528"/>
  </r>
  <r>
    <x v="8"/>
    <x v="83"/>
    <x v="67"/>
    <n v="41394"/>
  </r>
  <r>
    <x v="8"/>
    <x v="89"/>
    <x v="67"/>
    <n v="58170"/>
  </r>
  <r>
    <x v="8"/>
    <x v="67"/>
    <x v="67"/>
    <n v="52344"/>
  </r>
  <r>
    <x v="17"/>
    <x v="158"/>
    <x v="68"/>
    <n v="5200"/>
  </r>
  <r>
    <x v="1"/>
    <x v="1"/>
    <x v="68"/>
    <n v="14662"/>
  </r>
  <r>
    <x v="2"/>
    <x v="160"/>
    <x v="68"/>
    <n v="37509"/>
  </r>
  <r>
    <x v="2"/>
    <x v="60"/>
    <x v="68"/>
    <n v="42196"/>
  </r>
  <r>
    <x v="13"/>
    <x v="191"/>
    <x v="68"/>
    <n v="15524"/>
  </r>
  <r>
    <x v="14"/>
    <x v="207"/>
    <x v="68"/>
    <n v="14985"/>
  </r>
  <r>
    <x v="9"/>
    <x v="141"/>
    <x v="68"/>
    <n v="19404"/>
  </r>
  <r>
    <x v="9"/>
    <x v="20"/>
    <x v="68"/>
    <n v="22920"/>
  </r>
  <r>
    <x v="9"/>
    <x v="115"/>
    <x v="68"/>
    <n v="21855"/>
  </r>
  <r>
    <x v="5"/>
    <x v="169"/>
    <x v="68"/>
    <n v="25501"/>
  </r>
  <r>
    <x v="5"/>
    <x v="133"/>
    <x v="68"/>
    <n v="27915"/>
  </r>
  <r>
    <x v="6"/>
    <x v="2"/>
    <x v="68"/>
    <n v="35122"/>
  </r>
  <r>
    <x v="7"/>
    <x v="78"/>
    <x v="68"/>
    <n v="26567"/>
  </r>
  <r>
    <x v="8"/>
    <x v="66"/>
    <x v="68"/>
    <n v="44932"/>
  </r>
  <r>
    <x v="8"/>
    <x v="39"/>
    <x v="68"/>
    <n v="42143"/>
  </r>
  <r>
    <x v="8"/>
    <x v="58"/>
    <x v="68"/>
    <n v="58327"/>
  </r>
  <r>
    <x v="8"/>
    <x v="29"/>
    <x v="68"/>
    <n v="39370"/>
  </r>
  <r>
    <x v="8"/>
    <x v="29"/>
    <x v="68"/>
    <n v="37108"/>
  </r>
  <r>
    <x v="8"/>
    <x v="137"/>
    <x v="68"/>
    <n v="35440"/>
  </r>
  <r>
    <x v="8"/>
    <x v="67"/>
    <x v="68"/>
    <n v="51379"/>
  </r>
  <r>
    <x v="2"/>
    <x v="171"/>
    <x v="69"/>
    <n v="36713"/>
  </r>
  <r>
    <x v="2"/>
    <x v="193"/>
    <x v="69"/>
    <n v="41556"/>
  </r>
  <r>
    <x v="2"/>
    <x v="145"/>
    <x v="69"/>
    <n v="23643"/>
  </r>
  <r>
    <x v="11"/>
    <x v="146"/>
    <x v="69"/>
    <n v="15472"/>
  </r>
  <r>
    <x v="11"/>
    <x v="203"/>
    <x v="69"/>
    <n v="13288"/>
  </r>
  <r>
    <x v="14"/>
    <x v="101"/>
    <x v="69"/>
    <n v="16449"/>
  </r>
  <r>
    <x v="5"/>
    <x v="165"/>
    <x v="69"/>
    <n v="26400"/>
  </r>
  <r>
    <x v="6"/>
    <x v="52"/>
    <x v="69"/>
    <n v="42595"/>
  </r>
  <r>
    <x v="6"/>
    <x v="118"/>
    <x v="69"/>
    <n v="30067"/>
  </r>
  <r>
    <x v="6"/>
    <x v="235"/>
    <x v="69"/>
    <n v="34778"/>
  </r>
  <r>
    <x v="7"/>
    <x v="230"/>
    <x v="69"/>
    <n v="31953"/>
  </r>
  <r>
    <x v="8"/>
    <x v="128"/>
    <x v="69"/>
    <n v="37501"/>
  </r>
  <r>
    <x v="8"/>
    <x v="82"/>
    <x v="69"/>
    <n v="59483"/>
  </r>
  <r>
    <x v="2"/>
    <x v="71"/>
    <x v="70"/>
    <n v="35604"/>
  </r>
  <r>
    <x v="2"/>
    <x v="183"/>
    <x v="70"/>
    <n v="36738"/>
  </r>
  <r>
    <x v="2"/>
    <x v="162"/>
    <x v="70"/>
    <n v="47869"/>
  </r>
  <r>
    <x v="9"/>
    <x v="168"/>
    <x v="70"/>
    <n v="15261"/>
  </r>
  <r>
    <x v="5"/>
    <x v="151"/>
    <x v="70"/>
    <n v="23874"/>
  </r>
  <r>
    <x v="12"/>
    <x v="92"/>
    <x v="70"/>
    <n v="6099"/>
  </r>
  <r>
    <x v="7"/>
    <x v="37"/>
    <x v="70"/>
    <n v="26670"/>
  </r>
  <r>
    <x v="7"/>
    <x v="179"/>
    <x v="70"/>
    <n v="36742"/>
  </r>
  <r>
    <x v="7"/>
    <x v="57"/>
    <x v="70"/>
    <n v="33101"/>
  </r>
  <r>
    <x v="8"/>
    <x v="128"/>
    <x v="70"/>
    <n v="37520"/>
  </r>
  <r>
    <x v="8"/>
    <x v="39"/>
    <x v="70"/>
    <n v="37699"/>
  </r>
  <r>
    <x v="8"/>
    <x v="59"/>
    <x v="70"/>
    <n v="35326"/>
  </r>
  <r>
    <x v="0"/>
    <x v="16"/>
    <x v="71"/>
    <n v="16924"/>
  </r>
  <r>
    <x v="2"/>
    <x v="233"/>
    <x v="71"/>
    <n v="41037"/>
  </r>
  <r>
    <x v="18"/>
    <x v="163"/>
    <x v="71"/>
    <n v="21079"/>
  </r>
  <r>
    <x v="12"/>
    <x v="45"/>
    <x v="71"/>
    <n v="31796"/>
  </r>
  <r>
    <x v="6"/>
    <x v="23"/>
    <x v="71"/>
    <n v="28233"/>
  </r>
  <r>
    <x v="6"/>
    <x v="152"/>
    <x v="71"/>
    <n v="25763"/>
  </r>
  <r>
    <x v="7"/>
    <x v="88"/>
    <x v="71"/>
    <n v="25542"/>
  </r>
  <r>
    <x v="7"/>
    <x v="54"/>
    <x v="71"/>
    <n v="35464"/>
  </r>
  <r>
    <x v="7"/>
    <x v="38"/>
    <x v="71"/>
    <n v="41174"/>
  </r>
  <r>
    <x v="8"/>
    <x v="94"/>
    <x v="71"/>
    <n v="48551"/>
  </r>
  <r>
    <x v="8"/>
    <x v="39"/>
    <x v="71"/>
    <n v="30740"/>
  </r>
  <r>
    <x v="8"/>
    <x v="137"/>
    <x v="71"/>
    <n v="28049"/>
  </r>
  <r>
    <x v="8"/>
    <x v="59"/>
    <x v="71"/>
    <n v="36836"/>
  </r>
  <r>
    <x v="2"/>
    <x v="75"/>
    <x v="72"/>
    <n v="32969"/>
  </r>
  <r>
    <x v="2"/>
    <x v="15"/>
    <x v="72"/>
    <n v="31446"/>
  </r>
  <r>
    <x v="4"/>
    <x v="62"/>
    <x v="72"/>
    <n v="11349"/>
  </r>
  <r>
    <x v="5"/>
    <x v="6"/>
    <x v="72"/>
    <n v="20657"/>
  </r>
  <r>
    <x v="5"/>
    <x v="186"/>
    <x v="72"/>
    <n v="22959"/>
  </r>
  <r>
    <x v="6"/>
    <x v="117"/>
    <x v="72"/>
    <n v="27179"/>
  </r>
  <r>
    <x v="7"/>
    <x v="134"/>
    <x v="72"/>
    <n v="27763"/>
  </r>
  <r>
    <x v="7"/>
    <x v="134"/>
    <x v="72"/>
    <n v="25767"/>
  </r>
  <r>
    <x v="7"/>
    <x v="211"/>
    <x v="72"/>
    <n v="29839"/>
  </r>
  <r>
    <x v="7"/>
    <x v="142"/>
    <x v="72"/>
    <n v="32428"/>
  </r>
  <r>
    <x v="8"/>
    <x v="143"/>
    <x v="72"/>
    <n v="52549"/>
  </r>
  <r>
    <x v="8"/>
    <x v="112"/>
    <x v="72"/>
    <n v="40432"/>
  </r>
  <r>
    <x v="8"/>
    <x v="130"/>
    <x v="72"/>
    <n v="37389"/>
  </r>
  <r>
    <x v="8"/>
    <x v="120"/>
    <x v="72"/>
    <n v="33229"/>
  </r>
  <r>
    <x v="8"/>
    <x v="153"/>
    <x v="72"/>
    <n v="31747"/>
  </r>
  <r>
    <x v="2"/>
    <x v="103"/>
    <x v="73"/>
    <n v="54977"/>
  </r>
  <r>
    <x v="13"/>
    <x v="97"/>
    <x v="73"/>
    <n v="12936"/>
  </r>
  <r>
    <x v="9"/>
    <x v="49"/>
    <x v="73"/>
    <n v="22759"/>
  </r>
  <r>
    <x v="9"/>
    <x v="219"/>
    <x v="73"/>
    <n v="17632"/>
  </r>
  <r>
    <x v="5"/>
    <x v="108"/>
    <x v="73"/>
    <n v="18969"/>
  </r>
  <r>
    <x v="7"/>
    <x v="222"/>
    <x v="73"/>
    <n v="23233"/>
  </r>
  <r>
    <x v="7"/>
    <x v="78"/>
    <x v="73"/>
    <n v="27721"/>
  </r>
  <r>
    <x v="7"/>
    <x v="84"/>
    <x v="73"/>
    <n v="35594"/>
  </r>
  <r>
    <x v="8"/>
    <x v="14"/>
    <x v="73"/>
    <n v="51171"/>
  </r>
  <r>
    <x v="8"/>
    <x v="57"/>
    <x v="73"/>
    <n v="46140"/>
  </r>
  <r>
    <x v="8"/>
    <x v="83"/>
    <x v="73"/>
    <n v="41332"/>
  </r>
  <r>
    <x v="2"/>
    <x v="90"/>
    <x v="74"/>
    <n v="28926"/>
  </r>
  <r>
    <x v="3"/>
    <x v="42"/>
    <x v="74"/>
    <n v="13108"/>
  </r>
  <r>
    <x v="13"/>
    <x v="114"/>
    <x v="74"/>
    <n v="37253"/>
  </r>
  <r>
    <x v="10"/>
    <x v="21"/>
    <x v="74"/>
    <n v="14139"/>
  </r>
  <r>
    <x v="12"/>
    <x v="35"/>
    <x v="74"/>
    <n v="16217"/>
  </r>
  <r>
    <x v="12"/>
    <x v="167"/>
    <x v="74"/>
    <n v="15420"/>
  </r>
  <r>
    <x v="6"/>
    <x v="24"/>
    <x v="74"/>
    <n v="34110"/>
  </r>
  <r>
    <x v="7"/>
    <x v="54"/>
    <x v="74"/>
    <n v="44880"/>
  </r>
  <r>
    <x v="7"/>
    <x v="111"/>
    <x v="74"/>
    <n v="36993"/>
  </r>
  <r>
    <x v="8"/>
    <x v="154"/>
    <x v="74"/>
    <n v="47219"/>
  </r>
  <r>
    <x v="8"/>
    <x v="15"/>
    <x v="74"/>
    <n v="43672"/>
  </r>
  <r>
    <x v="2"/>
    <x v="178"/>
    <x v="75"/>
    <n v="31696"/>
  </r>
  <r>
    <x v="3"/>
    <x v="155"/>
    <x v="75"/>
    <n v="14704"/>
  </r>
  <r>
    <x v="11"/>
    <x v="31"/>
    <x v="75"/>
    <n v="19124"/>
  </r>
  <r>
    <x v="5"/>
    <x v="215"/>
    <x v="75"/>
    <n v="7478"/>
  </r>
  <r>
    <x v="6"/>
    <x v="51"/>
    <x v="75"/>
    <n v="37557"/>
  </r>
  <r>
    <x v="6"/>
    <x v="2"/>
    <x v="75"/>
    <n v="29233"/>
  </r>
  <r>
    <x v="7"/>
    <x v="71"/>
    <x v="75"/>
    <n v="34726"/>
  </r>
  <r>
    <x v="7"/>
    <x v="178"/>
    <x v="75"/>
    <n v="31248"/>
  </r>
  <r>
    <x v="7"/>
    <x v="118"/>
    <x v="75"/>
    <n v="37255"/>
  </r>
  <r>
    <x v="7"/>
    <x v="46"/>
    <x v="75"/>
    <n v="36387"/>
  </r>
  <r>
    <x v="7"/>
    <x v="79"/>
    <x v="75"/>
    <n v="25895"/>
  </r>
  <r>
    <x v="8"/>
    <x v="170"/>
    <x v="75"/>
    <n v="53934"/>
  </r>
  <r>
    <x v="8"/>
    <x v="157"/>
    <x v="75"/>
    <n v="49614"/>
  </r>
  <r>
    <x v="8"/>
    <x v="15"/>
    <x v="75"/>
    <n v="47629"/>
  </r>
  <r>
    <x v="8"/>
    <x v="143"/>
    <x v="75"/>
    <n v="35734"/>
  </r>
  <r>
    <x v="8"/>
    <x v="29"/>
    <x v="75"/>
    <n v="34878"/>
  </r>
  <r>
    <x v="8"/>
    <x v="41"/>
    <x v="75"/>
    <n v="46738"/>
  </r>
  <r>
    <x v="2"/>
    <x v="18"/>
    <x v="76"/>
    <n v="16498"/>
  </r>
  <r>
    <x v="13"/>
    <x v="214"/>
    <x v="76"/>
    <n v="16800"/>
  </r>
  <r>
    <x v="13"/>
    <x v="61"/>
    <x v="76"/>
    <n v="16267"/>
  </r>
  <r>
    <x v="12"/>
    <x v="166"/>
    <x v="76"/>
    <n v="13021"/>
  </r>
  <r>
    <x v="12"/>
    <x v="177"/>
    <x v="76"/>
    <n v="17438"/>
  </r>
  <r>
    <x v="6"/>
    <x v="36"/>
    <x v="76"/>
    <n v="29030"/>
  </r>
  <r>
    <x v="6"/>
    <x v="188"/>
    <x v="76"/>
    <n v="8456"/>
  </r>
  <r>
    <x v="7"/>
    <x v="124"/>
    <x v="76"/>
    <n v="30853"/>
  </r>
  <r>
    <x v="7"/>
    <x v="72"/>
    <x v="76"/>
    <n v="56759"/>
  </r>
  <r>
    <x v="8"/>
    <x v="55"/>
    <x v="76"/>
    <n v="35568"/>
  </r>
  <r>
    <x v="0"/>
    <x v="212"/>
    <x v="77"/>
    <n v="14873"/>
  </r>
  <r>
    <x v="2"/>
    <x v="139"/>
    <x v="77"/>
    <n v="8180"/>
  </r>
  <r>
    <x v="2"/>
    <x v="232"/>
    <x v="77"/>
    <n v="47253"/>
  </r>
  <r>
    <x v="2"/>
    <x v="145"/>
    <x v="77"/>
    <n v="23837"/>
  </r>
  <r>
    <x v="13"/>
    <x v="172"/>
    <x v="77"/>
    <n v="17426"/>
  </r>
  <r>
    <x v="9"/>
    <x v="148"/>
    <x v="77"/>
    <n v="30536"/>
  </r>
  <r>
    <x v="7"/>
    <x v="201"/>
    <x v="77"/>
    <n v="29530"/>
  </r>
  <r>
    <x v="7"/>
    <x v="12"/>
    <x v="77"/>
    <n v="37521"/>
  </r>
  <r>
    <x v="7"/>
    <x v="79"/>
    <x v="77"/>
    <n v="32427"/>
  </r>
  <r>
    <x v="8"/>
    <x v="47"/>
    <x v="77"/>
    <n v="37371"/>
  </r>
  <r>
    <x v="8"/>
    <x v="47"/>
    <x v="77"/>
    <n v="35187"/>
  </r>
  <r>
    <x v="8"/>
    <x v="137"/>
    <x v="77"/>
    <n v="31028"/>
  </r>
  <r>
    <x v="8"/>
    <x v="83"/>
    <x v="77"/>
    <n v="28425"/>
  </r>
  <r>
    <x v="8"/>
    <x v="120"/>
    <x v="77"/>
    <n v="35236"/>
  </r>
  <r>
    <x v="2"/>
    <x v="181"/>
    <x v="78"/>
    <n v="40158"/>
  </r>
  <r>
    <x v="2"/>
    <x v="19"/>
    <x v="78"/>
    <n v="32962"/>
  </r>
  <r>
    <x v="9"/>
    <x v="91"/>
    <x v="78"/>
    <n v="19049"/>
  </r>
  <r>
    <x v="6"/>
    <x v="9"/>
    <x v="78"/>
    <n v="18795"/>
  </r>
  <r>
    <x v="6"/>
    <x v="73"/>
    <x v="78"/>
    <n v="30819"/>
  </r>
  <r>
    <x v="7"/>
    <x v="25"/>
    <x v="78"/>
    <n v="36326"/>
  </r>
  <r>
    <x v="7"/>
    <x v="46"/>
    <x v="78"/>
    <n v="40058"/>
  </r>
  <r>
    <x v="8"/>
    <x v="74"/>
    <x v="78"/>
    <n v="28328"/>
  </r>
  <r>
    <x v="8"/>
    <x v="39"/>
    <x v="78"/>
    <n v="47880"/>
  </r>
  <r>
    <x v="8"/>
    <x v="143"/>
    <x v="78"/>
    <n v="35645"/>
  </r>
  <r>
    <x v="8"/>
    <x v="137"/>
    <x v="78"/>
    <n v="25761"/>
  </r>
  <r>
    <x v="2"/>
    <x v="131"/>
    <x v="79"/>
    <n v="45241"/>
  </r>
  <r>
    <x v="2"/>
    <x v="56"/>
    <x v="79"/>
    <n v="28816"/>
  </r>
  <r>
    <x v="2"/>
    <x v="196"/>
    <x v="79"/>
    <n v="26792"/>
  </r>
  <r>
    <x v="4"/>
    <x v="206"/>
    <x v="79"/>
    <n v="15176"/>
  </r>
  <r>
    <x v="9"/>
    <x v="63"/>
    <x v="79"/>
    <n v="21494"/>
  </r>
  <r>
    <x v="9"/>
    <x v="198"/>
    <x v="79"/>
    <n v="17991"/>
  </r>
  <r>
    <x v="12"/>
    <x v="227"/>
    <x v="79"/>
    <n v="5542"/>
  </r>
  <r>
    <x v="6"/>
    <x v="220"/>
    <x v="79"/>
    <n v="26805"/>
  </r>
  <r>
    <x v="7"/>
    <x v="53"/>
    <x v="79"/>
    <n v="32592"/>
  </r>
  <r>
    <x v="7"/>
    <x v="211"/>
    <x v="79"/>
    <n v="32324"/>
  </r>
  <r>
    <x v="7"/>
    <x v="80"/>
    <x v="79"/>
    <n v="29465"/>
  </r>
  <r>
    <x v="8"/>
    <x v="129"/>
    <x v="79"/>
    <n v="42844"/>
  </r>
  <r>
    <x v="8"/>
    <x v="143"/>
    <x v="79"/>
    <n v="39618"/>
  </r>
  <r>
    <x v="0"/>
    <x v="0"/>
    <x v="80"/>
    <n v="15196"/>
  </r>
  <r>
    <x v="2"/>
    <x v="102"/>
    <x v="80"/>
    <n v="39926"/>
  </r>
  <r>
    <x v="2"/>
    <x v="182"/>
    <x v="80"/>
    <n v="27551"/>
  </r>
  <r>
    <x v="5"/>
    <x v="50"/>
    <x v="80"/>
    <n v="19833"/>
  </r>
  <r>
    <x v="6"/>
    <x v="65"/>
    <x v="80"/>
    <n v="32755"/>
  </r>
  <r>
    <x v="6"/>
    <x v="24"/>
    <x v="80"/>
    <n v="37040"/>
  </r>
  <r>
    <x v="7"/>
    <x v="217"/>
    <x v="80"/>
    <n v="29441"/>
  </r>
  <r>
    <x v="7"/>
    <x v="26"/>
    <x v="80"/>
    <n v="41803"/>
  </r>
  <r>
    <x v="7"/>
    <x v="111"/>
    <x v="80"/>
    <n v="30574"/>
  </r>
  <r>
    <x v="8"/>
    <x v="131"/>
    <x v="80"/>
    <n v="34423"/>
  </r>
  <r>
    <x v="2"/>
    <x v="3"/>
    <x v="81"/>
    <n v="45858"/>
  </r>
  <r>
    <x v="15"/>
    <x v="76"/>
    <x v="81"/>
    <n v="14657"/>
  </r>
  <r>
    <x v="6"/>
    <x v="229"/>
    <x v="81"/>
    <n v="39071"/>
  </r>
  <r>
    <x v="7"/>
    <x v="54"/>
    <x v="81"/>
    <n v="33363"/>
  </r>
  <r>
    <x v="7"/>
    <x v="180"/>
    <x v="81"/>
    <n v="46479"/>
  </r>
  <r>
    <x v="8"/>
    <x v="27"/>
    <x v="81"/>
    <n v="46734"/>
  </r>
  <r>
    <x v="8"/>
    <x v="194"/>
    <x v="81"/>
    <n v="36057"/>
  </r>
  <r>
    <x v="8"/>
    <x v="150"/>
    <x v="81"/>
    <n v="32479"/>
  </r>
  <r>
    <x v="2"/>
    <x v="236"/>
    <x v="82"/>
    <n v="12968"/>
  </r>
  <r>
    <x v="2"/>
    <x v="161"/>
    <x v="82"/>
    <n v="40667"/>
  </r>
  <r>
    <x v="16"/>
    <x v="99"/>
    <x v="82"/>
    <n v="15472"/>
  </r>
  <r>
    <x v="7"/>
    <x v="12"/>
    <x v="82"/>
    <n v="40084"/>
  </r>
  <r>
    <x v="8"/>
    <x v="194"/>
    <x v="82"/>
    <n v="41966"/>
  </r>
  <r>
    <x v="2"/>
    <x v="136"/>
    <x v="83"/>
    <n v="19405"/>
  </r>
  <r>
    <x v="13"/>
    <x v="68"/>
    <x v="83"/>
    <n v="18309"/>
  </r>
  <r>
    <x v="13"/>
    <x v="116"/>
    <x v="83"/>
    <n v="18059"/>
  </r>
  <r>
    <x v="11"/>
    <x v="197"/>
    <x v="83"/>
    <n v="18989"/>
  </r>
  <r>
    <x v="5"/>
    <x v="148"/>
    <x v="83"/>
    <n v="20516"/>
  </r>
  <r>
    <x v="6"/>
    <x v="77"/>
    <x v="83"/>
    <n v="37431"/>
  </r>
  <r>
    <x v="7"/>
    <x v="217"/>
    <x v="83"/>
    <n v="39395"/>
  </r>
  <r>
    <x v="7"/>
    <x v="143"/>
    <x v="83"/>
    <n v="40696"/>
  </r>
  <r>
    <x v="8"/>
    <x v="14"/>
    <x v="83"/>
    <n v="36527"/>
  </r>
  <r>
    <x v="8"/>
    <x v="194"/>
    <x v="83"/>
    <n v="33654"/>
  </r>
  <r>
    <x v="8"/>
    <x v="58"/>
    <x v="83"/>
    <n v="44872"/>
  </r>
  <r>
    <x v="2"/>
    <x v="75"/>
    <x v="84"/>
    <n v="40880"/>
  </r>
  <r>
    <x v="2"/>
    <x v="196"/>
    <x v="84"/>
    <n v="30051"/>
  </r>
  <r>
    <x v="13"/>
    <x v="44"/>
    <x v="84"/>
    <n v="16920"/>
  </r>
  <r>
    <x v="9"/>
    <x v="209"/>
    <x v="84"/>
    <n v="26120"/>
  </r>
  <r>
    <x v="9"/>
    <x v="147"/>
    <x v="84"/>
    <n v="20686"/>
  </r>
  <r>
    <x v="8"/>
    <x v="27"/>
    <x v="84"/>
    <n v="43097"/>
  </r>
  <r>
    <x v="8"/>
    <x v="157"/>
    <x v="84"/>
    <n v="39421"/>
  </r>
  <r>
    <x v="8"/>
    <x v="40"/>
    <x v="84"/>
    <n v="50666"/>
  </r>
  <r>
    <x v="8"/>
    <x v="29"/>
    <x v="84"/>
    <n v="34564"/>
  </r>
  <r>
    <x v="8"/>
    <x v="137"/>
    <x v="84"/>
    <n v="35393"/>
  </r>
  <r>
    <x v="8"/>
    <x v="59"/>
    <x v="84"/>
    <n v="28607"/>
  </r>
  <r>
    <x v="0"/>
    <x v="223"/>
    <x v="85"/>
    <n v="15480"/>
  </r>
  <r>
    <x v="9"/>
    <x v="219"/>
    <x v="85"/>
    <n v="23954"/>
  </r>
  <r>
    <x v="5"/>
    <x v="127"/>
    <x v="85"/>
    <n v="25920"/>
  </r>
  <r>
    <x v="7"/>
    <x v="222"/>
    <x v="85"/>
    <n v="35738"/>
  </r>
  <r>
    <x v="7"/>
    <x v="156"/>
    <x v="85"/>
    <n v="37115"/>
  </r>
  <r>
    <x v="7"/>
    <x v="25"/>
    <x v="85"/>
    <n v="38561"/>
  </r>
  <r>
    <x v="7"/>
    <x v="22"/>
    <x v="85"/>
    <n v="45994"/>
  </r>
  <r>
    <x v="8"/>
    <x v="30"/>
    <x v="85"/>
    <n v="58139"/>
  </r>
  <r>
    <x v="8"/>
    <x v="74"/>
    <x v="85"/>
    <n v="33479"/>
  </r>
  <r>
    <x v="0"/>
    <x v="218"/>
    <x v="86"/>
    <n v="18295"/>
  </r>
  <r>
    <x v="11"/>
    <x v="231"/>
    <x v="86"/>
    <n v="10415"/>
  </r>
  <r>
    <x v="18"/>
    <x v="176"/>
    <x v="86"/>
    <n v="21457"/>
  </r>
  <r>
    <x v="5"/>
    <x v="164"/>
    <x v="86"/>
    <n v="30611"/>
  </r>
  <r>
    <x v="6"/>
    <x v="216"/>
    <x v="86"/>
    <n v="35368"/>
  </r>
  <r>
    <x v="6"/>
    <x v="228"/>
    <x v="86"/>
    <n v="32948"/>
  </r>
  <r>
    <x v="7"/>
    <x v="170"/>
    <x v="86"/>
    <n v="44228"/>
  </r>
  <r>
    <x v="8"/>
    <x v="194"/>
    <x v="86"/>
    <n v="39942"/>
  </r>
  <r>
    <x v="8"/>
    <x v="150"/>
    <x v="86"/>
    <n v="32289"/>
  </r>
  <r>
    <x v="8"/>
    <x v="83"/>
    <x v="86"/>
    <n v="40915"/>
  </r>
  <r>
    <x v="8"/>
    <x v="89"/>
    <x v="86"/>
    <n v="50788"/>
  </r>
  <r>
    <x v="2"/>
    <x v="132"/>
    <x v="87"/>
    <n v="37662"/>
  </r>
  <r>
    <x v="9"/>
    <x v="34"/>
    <x v="87"/>
    <n v="19382"/>
  </r>
  <r>
    <x v="10"/>
    <x v="185"/>
    <x v="87"/>
    <n v="5200"/>
  </r>
  <r>
    <x v="18"/>
    <x v="125"/>
    <x v="87"/>
    <n v="13278"/>
  </r>
  <r>
    <x v="6"/>
    <x v="11"/>
    <x v="87"/>
    <n v="27674"/>
  </r>
  <r>
    <x v="6"/>
    <x v="221"/>
    <x v="87"/>
    <n v="21562"/>
  </r>
  <r>
    <x v="7"/>
    <x v="119"/>
    <x v="87"/>
    <n v="30313"/>
  </r>
  <r>
    <x v="7"/>
    <x v="26"/>
    <x v="87"/>
    <n v="34138"/>
  </r>
  <r>
    <x v="7"/>
    <x v="89"/>
    <x v="87"/>
    <n v="43497"/>
  </r>
  <r>
    <x v="8"/>
    <x v="170"/>
    <x v="87"/>
    <n v="45899"/>
  </r>
  <r>
    <x v="8"/>
    <x v="74"/>
    <x v="87"/>
    <n v="41805"/>
  </r>
  <r>
    <x v="8"/>
    <x v="29"/>
    <x v="87"/>
    <n v="40223"/>
  </r>
  <r>
    <x v="8"/>
    <x v="113"/>
    <x v="87"/>
    <n v="30514"/>
  </r>
  <r>
    <x v="8"/>
    <x v="113"/>
    <x v="87"/>
    <n v="36534"/>
  </r>
  <r>
    <x v="2"/>
    <x v="196"/>
    <x v="88"/>
    <n v="23657"/>
  </r>
  <r>
    <x v="2"/>
    <x v="182"/>
    <x v="88"/>
    <n v="34817"/>
  </r>
  <r>
    <x v="3"/>
    <x v="225"/>
    <x v="88"/>
    <n v="5200"/>
  </r>
  <r>
    <x v="4"/>
    <x v="96"/>
    <x v="88"/>
    <n v="13121"/>
  </r>
  <r>
    <x v="11"/>
    <x v="174"/>
    <x v="88"/>
    <n v="24856"/>
  </r>
  <r>
    <x v="14"/>
    <x v="4"/>
    <x v="88"/>
    <n v="16027"/>
  </r>
  <r>
    <x v="5"/>
    <x v="64"/>
    <x v="88"/>
    <n v="23491"/>
  </r>
  <r>
    <x v="6"/>
    <x v="110"/>
    <x v="88"/>
    <n v="7471"/>
  </r>
  <r>
    <x v="7"/>
    <x v="119"/>
    <x v="88"/>
    <n v="33423"/>
  </r>
  <r>
    <x v="7"/>
    <x v="142"/>
    <x v="88"/>
    <n v="43426"/>
  </r>
  <r>
    <x v="8"/>
    <x v="55"/>
    <x v="88"/>
    <n v="30231"/>
  </r>
  <r>
    <x v="8"/>
    <x v="66"/>
    <x v="88"/>
    <n v="39544"/>
  </r>
  <r>
    <x v="8"/>
    <x v="129"/>
    <x v="88"/>
    <n v="36493"/>
  </r>
  <r>
    <x v="8"/>
    <x v="40"/>
    <x v="88"/>
    <n v="40223"/>
  </r>
  <r>
    <x v="8"/>
    <x v="150"/>
    <x v="88"/>
    <n v="34427"/>
  </r>
  <r>
    <x v="0"/>
    <x v="159"/>
    <x v="89"/>
    <n v="18943"/>
  </r>
  <r>
    <x v="2"/>
    <x v="149"/>
    <x v="89"/>
    <n v="35270"/>
  </r>
  <r>
    <x v="11"/>
    <x v="126"/>
    <x v="89"/>
    <n v="19692"/>
  </r>
  <r>
    <x v="11"/>
    <x v="184"/>
    <x v="89"/>
    <n v="18604"/>
  </r>
  <r>
    <x v="11"/>
    <x v="204"/>
    <x v="89"/>
    <n v="33550"/>
  </r>
  <r>
    <x v="9"/>
    <x v="32"/>
    <x v="89"/>
    <n v="35952"/>
  </r>
  <r>
    <x v="15"/>
    <x v="205"/>
    <x v="89"/>
    <n v="12516"/>
  </r>
  <r>
    <x v="7"/>
    <x v="37"/>
    <x v="89"/>
    <n v="25507"/>
  </r>
  <r>
    <x v="7"/>
    <x v="179"/>
    <x v="89"/>
    <n v="35960"/>
  </r>
  <r>
    <x v="8"/>
    <x v="39"/>
    <x v="89"/>
    <n v="39796"/>
  </r>
  <r>
    <x v="8"/>
    <x v="143"/>
    <x v="89"/>
    <n v="49545"/>
  </r>
  <r>
    <x v="8"/>
    <x v="143"/>
    <x v="89"/>
    <n v="38346"/>
  </r>
  <r>
    <x v="8"/>
    <x v="57"/>
    <x v="89"/>
    <n v="47003"/>
  </r>
  <r>
    <x v="8"/>
    <x v="144"/>
    <x v="89"/>
    <n v="41605"/>
  </r>
  <r>
    <x v="8"/>
    <x v="113"/>
    <x v="89"/>
    <n v="39922"/>
  </r>
  <r>
    <x v="8"/>
    <x v="67"/>
    <x v="89"/>
    <n v="48722"/>
  </r>
  <r>
    <x v="14"/>
    <x v="207"/>
    <x v="90"/>
    <n v="15745"/>
  </r>
  <r>
    <x v="6"/>
    <x v="9"/>
    <x v="90"/>
    <n v="26022"/>
  </r>
  <r>
    <x v="6"/>
    <x v="210"/>
    <x v="90"/>
    <n v="32217"/>
  </r>
  <r>
    <x v="6"/>
    <x v="228"/>
    <x v="90"/>
    <n v="31087"/>
  </r>
  <r>
    <x v="6"/>
    <x v="220"/>
    <x v="90"/>
    <n v="26010"/>
  </r>
  <r>
    <x v="7"/>
    <x v="156"/>
    <x v="90"/>
    <n v="39465"/>
  </r>
  <r>
    <x v="8"/>
    <x v="128"/>
    <x v="90"/>
    <n v="22665"/>
  </r>
  <r>
    <x v="8"/>
    <x v="28"/>
    <x v="90"/>
    <n v="36701"/>
  </r>
  <r>
    <x v="8"/>
    <x v="150"/>
    <x v="90"/>
    <n v="30882"/>
  </r>
  <r>
    <x v="8"/>
    <x v="41"/>
    <x v="90"/>
    <n v="44685"/>
  </r>
  <r>
    <x v="2"/>
    <x v="75"/>
    <x v="91"/>
    <n v="44320"/>
  </r>
  <r>
    <x v="2"/>
    <x v="145"/>
    <x v="91"/>
    <n v="46280"/>
  </r>
  <r>
    <x v="14"/>
    <x v="4"/>
    <x v="91"/>
    <n v="15732"/>
  </r>
  <r>
    <x v="5"/>
    <x v="148"/>
    <x v="91"/>
    <n v="20530"/>
  </r>
  <r>
    <x v="7"/>
    <x v="78"/>
    <x v="91"/>
    <n v="34459"/>
  </r>
  <r>
    <x v="7"/>
    <x v="93"/>
    <x v="91"/>
    <n v="26427"/>
  </r>
  <r>
    <x v="8"/>
    <x v="55"/>
    <x v="91"/>
    <n v="34157"/>
  </r>
  <r>
    <x v="8"/>
    <x v="170"/>
    <x v="91"/>
    <n v="49728"/>
  </r>
  <r>
    <x v="8"/>
    <x v="170"/>
    <x v="91"/>
    <n v="48718"/>
  </r>
  <r>
    <x v="8"/>
    <x v="131"/>
    <x v="91"/>
    <n v="56038"/>
  </r>
  <r>
    <x v="8"/>
    <x v="39"/>
    <x v="91"/>
    <n v="33135"/>
  </r>
  <r>
    <x v="8"/>
    <x v="138"/>
    <x v="91"/>
    <n v="31473"/>
  </r>
  <r>
    <x v="8"/>
    <x v="130"/>
    <x v="91"/>
    <n v="40672"/>
  </r>
  <r>
    <x v="8"/>
    <x v="153"/>
    <x v="91"/>
    <n v="36645"/>
  </r>
  <r>
    <x v="17"/>
    <x v="158"/>
    <x v="92"/>
    <n v="5200"/>
  </r>
  <r>
    <x v="0"/>
    <x v="104"/>
    <x v="92"/>
    <n v="16003"/>
  </r>
  <r>
    <x v="0"/>
    <x v="16"/>
    <x v="92"/>
    <n v="18489"/>
  </r>
  <r>
    <x v="1"/>
    <x v="1"/>
    <x v="92"/>
    <n v="14362"/>
  </r>
  <r>
    <x v="9"/>
    <x v="141"/>
    <x v="92"/>
    <n v="21084"/>
  </r>
  <r>
    <x v="12"/>
    <x v="109"/>
    <x v="92"/>
    <n v="18169"/>
  </r>
  <r>
    <x v="8"/>
    <x v="47"/>
    <x v="92"/>
    <n v="33136"/>
  </r>
  <r>
    <x v="8"/>
    <x v="66"/>
    <x v="92"/>
    <n v="43851"/>
  </r>
  <r>
    <x v="8"/>
    <x v="57"/>
    <x v="92"/>
    <n v="45476"/>
  </r>
  <r>
    <x v="8"/>
    <x v="195"/>
    <x v="92"/>
    <n v="33879"/>
  </r>
  <r>
    <x v="2"/>
    <x v="137"/>
    <x v="93"/>
    <n v="37921"/>
  </r>
  <r>
    <x v="2"/>
    <x v="182"/>
    <x v="93"/>
    <n v="30022"/>
  </r>
  <r>
    <x v="11"/>
    <x v="203"/>
    <x v="93"/>
    <n v="18845"/>
  </r>
  <r>
    <x v="11"/>
    <x v="174"/>
    <x v="93"/>
    <n v="10618"/>
  </r>
  <r>
    <x v="9"/>
    <x v="20"/>
    <x v="93"/>
    <n v="16112"/>
  </r>
  <r>
    <x v="5"/>
    <x v="215"/>
    <x v="93"/>
    <n v="18268"/>
  </r>
  <r>
    <x v="5"/>
    <x v="108"/>
    <x v="93"/>
    <n v="17460"/>
  </r>
  <r>
    <x v="6"/>
    <x v="24"/>
    <x v="93"/>
    <n v="7223"/>
  </r>
  <r>
    <x v="7"/>
    <x v="157"/>
    <x v="93"/>
    <n v="51488"/>
  </r>
  <r>
    <x v="7"/>
    <x v="54"/>
    <x v="93"/>
    <n v="39766"/>
  </r>
  <r>
    <x v="7"/>
    <x v="118"/>
    <x v="93"/>
    <n v="29222"/>
  </r>
  <r>
    <x v="7"/>
    <x v="142"/>
    <x v="93"/>
    <n v="34929"/>
  </r>
  <r>
    <x v="7"/>
    <x v="80"/>
    <x v="93"/>
    <n v="29044"/>
  </r>
  <r>
    <x v="8"/>
    <x v="55"/>
    <x v="93"/>
    <n v="30449"/>
  </r>
  <r>
    <x v="8"/>
    <x v="131"/>
    <x v="93"/>
    <n v="34699"/>
  </r>
  <r>
    <x v="8"/>
    <x v="74"/>
    <x v="93"/>
    <n v="34149"/>
  </r>
  <r>
    <x v="8"/>
    <x v="29"/>
    <x v="93"/>
    <n v="32664"/>
  </r>
  <r>
    <x v="8"/>
    <x v="59"/>
    <x v="93"/>
    <n v="37443"/>
  </r>
  <r>
    <x v="8"/>
    <x v="120"/>
    <x v="93"/>
    <n v="51551"/>
  </r>
  <r>
    <x v="8"/>
    <x v="84"/>
    <x v="93"/>
    <n v="33813"/>
  </r>
  <r>
    <x v="0"/>
    <x v="0"/>
    <x v="94"/>
    <n v="14919"/>
  </r>
  <r>
    <x v="3"/>
    <x v="225"/>
    <x v="94"/>
    <n v="10512"/>
  </r>
  <r>
    <x v="4"/>
    <x v="192"/>
    <x v="94"/>
    <n v="15225"/>
  </r>
  <r>
    <x v="9"/>
    <x v="63"/>
    <x v="94"/>
    <n v="28174"/>
  </r>
  <r>
    <x v="9"/>
    <x v="49"/>
    <x v="94"/>
    <n v="22855"/>
  </r>
  <r>
    <x v="9"/>
    <x v="219"/>
    <x v="94"/>
    <n v="17292"/>
  </r>
  <r>
    <x v="7"/>
    <x v="217"/>
    <x v="94"/>
    <n v="33925"/>
  </r>
  <r>
    <x v="7"/>
    <x v="217"/>
    <x v="94"/>
    <n v="37355"/>
  </r>
  <r>
    <x v="7"/>
    <x v="81"/>
    <x v="94"/>
    <n v="54145"/>
  </r>
  <r>
    <x v="7"/>
    <x v="38"/>
    <x v="94"/>
    <n v="34495"/>
  </r>
  <r>
    <x v="8"/>
    <x v="112"/>
    <x v="94"/>
    <n v="40331"/>
  </r>
  <r>
    <x v="0"/>
    <x v="223"/>
    <x v="95"/>
    <n v="15731"/>
  </r>
  <r>
    <x v="0"/>
    <x v="189"/>
    <x v="95"/>
    <n v="5200"/>
  </r>
  <r>
    <x v="0"/>
    <x v="218"/>
    <x v="95"/>
    <n v="12150"/>
  </r>
  <r>
    <x v="2"/>
    <x v="139"/>
    <x v="95"/>
    <n v="24804"/>
  </r>
  <r>
    <x v="9"/>
    <x v="115"/>
    <x v="95"/>
    <n v="22901"/>
  </r>
  <r>
    <x v="7"/>
    <x v="79"/>
    <x v="95"/>
    <n v="27191"/>
  </r>
  <r>
    <x v="8"/>
    <x v="144"/>
    <x v="95"/>
    <n v="39569"/>
  </r>
  <r>
    <x v="8"/>
    <x v="82"/>
    <x v="95"/>
    <n v="55467"/>
  </r>
  <r>
    <x v="2"/>
    <x v="105"/>
    <x v="96"/>
    <n v="38378"/>
  </r>
  <r>
    <x v="2"/>
    <x v="135"/>
    <x v="96"/>
    <n v="50502"/>
  </r>
  <r>
    <x v="13"/>
    <x v="97"/>
    <x v="96"/>
    <n v="30229"/>
  </r>
  <r>
    <x v="9"/>
    <x v="86"/>
    <x v="96"/>
    <n v="26331"/>
  </r>
  <r>
    <x v="7"/>
    <x v="201"/>
    <x v="96"/>
    <n v="28035"/>
  </r>
  <r>
    <x v="8"/>
    <x v="55"/>
    <x v="96"/>
    <n v="27896"/>
  </r>
  <r>
    <x v="8"/>
    <x v="27"/>
    <x v="96"/>
    <n v="39207"/>
  </r>
  <r>
    <x v="8"/>
    <x v="74"/>
    <x v="96"/>
    <n v="38851"/>
  </r>
  <r>
    <x v="8"/>
    <x v="15"/>
    <x v="96"/>
    <n v="44768"/>
  </r>
  <r>
    <x v="5"/>
    <x v="186"/>
    <x v="97"/>
    <n v="22900"/>
  </r>
  <r>
    <x v="6"/>
    <x v="95"/>
    <x v="97"/>
    <n v="45807"/>
  </r>
  <r>
    <x v="7"/>
    <x v="211"/>
    <x v="97"/>
    <n v="30178"/>
  </r>
  <r>
    <x v="7"/>
    <x v="46"/>
    <x v="97"/>
    <n v="37617"/>
  </r>
  <r>
    <x v="8"/>
    <x v="170"/>
    <x v="97"/>
    <n v="37335"/>
  </r>
  <r>
    <x v="8"/>
    <x v="131"/>
    <x v="97"/>
    <n v="48593"/>
  </r>
  <r>
    <x v="8"/>
    <x v="27"/>
    <x v="97"/>
    <n v="35889"/>
  </r>
  <r>
    <x v="8"/>
    <x v="57"/>
    <x v="97"/>
    <n v="31079"/>
  </r>
  <r>
    <x v="8"/>
    <x v="130"/>
    <x v="97"/>
    <n v="41600"/>
  </r>
  <r>
    <x v="8"/>
    <x v="3"/>
    <x v="97"/>
    <n v="38310"/>
  </r>
  <r>
    <x v="2"/>
    <x v="60"/>
    <x v="98"/>
    <n v="41262"/>
  </r>
  <r>
    <x v="11"/>
    <x v="17"/>
    <x v="98"/>
    <n v="18277"/>
  </r>
  <r>
    <x v="5"/>
    <x v="164"/>
    <x v="98"/>
    <n v="33459"/>
  </r>
  <r>
    <x v="12"/>
    <x v="227"/>
    <x v="98"/>
    <n v="12025"/>
  </r>
  <r>
    <x v="6"/>
    <x v="13"/>
    <x v="98"/>
    <n v="47586"/>
  </r>
  <r>
    <x v="7"/>
    <x v="119"/>
    <x v="98"/>
    <n v="14260"/>
  </r>
  <r>
    <x v="7"/>
    <x v="12"/>
    <x v="98"/>
    <n v="35308"/>
  </r>
  <r>
    <x v="7"/>
    <x v="93"/>
    <x v="98"/>
    <n v="28638"/>
  </r>
  <r>
    <x v="8"/>
    <x v="39"/>
    <x v="98"/>
    <n v="38130"/>
  </r>
  <r>
    <x v="12"/>
    <x v="166"/>
    <x v="99"/>
    <n v="19242"/>
  </r>
  <r>
    <x v="12"/>
    <x v="167"/>
    <x v="99"/>
    <n v="14687"/>
  </r>
  <r>
    <x v="6"/>
    <x v="2"/>
    <x v="99"/>
    <n v="26989"/>
  </r>
  <r>
    <x v="8"/>
    <x v="81"/>
    <x v="99"/>
    <n v="37339"/>
  </r>
  <r>
    <x v="8"/>
    <x v="28"/>
    <x v="99"/>
    <n v="41559"/>
  </r>
  <r>
    <x v="8"/>
    <x v="40"/>
    <x v="99"/>
    <n v="50975"/>
  </r>
  <r>
    <x v="8"/>
    <x v="57"/>
    <x v="99"/>
    <n v="35751"/>
  </r>
  <r>
    <x v="8"/>
    <x v="29"/>
    <x v="99"/>
    <n v="43225"/>
  </r>
  <r>
    <x v="8"/>
    <x v="137"/>
    <x v="99"/>
    <n v="40067"/>
  </r>
  <r>
    <x v="8"/>
    <x v="89"/>
    <x v="99"/>
    <n v="52621"/>
  </r>
  <r>
    <x v="8"/>
    <x v="89"/>
    <x v="99"/>
    <n v="43738"/>
  </r>
  <r>
    <x v="8"/>
    <x v="67"/>
    <x v="99"/>
    <n v="45000"/>
  </r>
  <r>
    <x v="2"/>
    <x v="224"/>
    <x v="100"/>
    <n v="8432"/>
  </r>
  <r>
    <x v="3"/>
    <x v="33"/>
    <x v="100"/>
    <n v="12606"/>
  </r>
  <r>
    <x v="13"/>
    <x v="121"/>
    <x v="100"/>
    <n v="19144"/>
  </r>
  <r>
    <x v="4"/>
    <x v="96"/>
    <x v="100"/>
    <n v="18924"/>
  </r>
  <r>
    <x v="14"/>
    <x v="101"/>
    <x v="100"/>
    <n v="15780"/>
  </r>
  <r>
    <x v="9"/>
    <x v="147"/>
    <x v="100"/>
    <n v="20574"/>
  </r>
  <r>
    <x v="10"/>
    <x v="185"/>
    <x v="100"/>
    <n v="25267"/>
  </r>
  <r>
    <x v="5"/>
    <x v="127"/>
    <x v="100"/>
    <n v="27551"/>
  </r>
  <r>
    <x v="5"/>
    <x v="7"/>
    <x v="100"/>
    <n v="33470"/>
  </r>
  <r>
    <x v="7"/>
    <x v="53"/>
    <x v="100"/>
    <n v="38906"/>
  </r>
  <r>
    <x v="7"/>
    <x v="190"/>
    <x v="100"/>
    <n v="32304"/>
  </r>
  <r>
    <x v="8"/>
    <x v="47"/>
    <x v="100"/>
    <n v="45764"/>
  </r>
  <r>
    <x v="8"/>
    <x v="74"/>
    <x v="100"/>
    <n v="27925"/>
  </r>
  <r>
    <x v="8"/>
    <x v="195"/>
    <x v="100"/>
    <n v="35232"/>
  </r>
  <r>
    <x v="8"/>
    <x v="84"/>
    <x v="100"/>
    <n v="33216"/>
  </r>
  <r>
    <x v="17"/>
    <x v="125"/>
    <x v="101"/>
    <n v="12341"/>
  </r>
  <r>
    <x v="11"/>
    <x v="191"/>
    <x v="101"/>
    <n v="24994"/>
  </r>
  <r>
    <x v="11"/>
    <x v="146"/>
    <x v="101"/>
    <n v="16321"/>
  </r>
  <r>
    <x v="15"/>
    <x v="70"/>
    <x v="101"/>
    <n v="10751"/>
  </r>
  <r>
    <x v="15"/>
    <x v="205"/>
    <x v="101"/>
    <n v="16886"/>
  </r>
  <r>
    <x v="6"/>
    <x v="110"/>
    <x v="101"/>
    <n v="20088"/>
  </r>
  <r>
    <x v="7"/>
    <x v="25"/>
    <x v="101"/>
    <n v="48194"/>
  </r>
  <r>
    <x v="7"/>
    <x v="178"/>
    <x v="101"/>
    <n v="28774"/>
  </r>
  <r>
    <x v="7"/>
    <x v="78"/>
    <x v="101"/>
    <n v="23183"/>
  </r>
  <r>
    <x v="7"/>
    <x v="72"/>
    <x v="101"/>
    <n v="45218"/>
  </r>
  <r>
    <x v="7"/>
    <x v="26"/>
    <x v="101"/>
    <n v="36809"/>
  </r>
  <r>
    <x v="8"/>
    <x v="129"/>
    <x v="101"/>
    <n v="42685"/>
  </r>
  <r>
    <x v="8"/>
    <x v="157"/>
    <x v="101"/>
    <n v="52867"/>
  </r>
  <r>
    <x v="8"/>
    <x v="3"/>
    <x v="101"/>
    <n v="62171"/>
  </r>
  <r>
    <x v="8"/>
    <x v="120"/>
    <x v="101"/>
    <n v="34876"/>
  </r>
  <r>
    <x v="8"/>
    <x v="67"/>
    <x v="101"/>
    <n v="40869"/>
  </r>
  <r>
    <x v="8"/>
    <x v="153"/>
    <x v="101"/>
    <n v="41064"/>
  </r>
  <r>
    <x v="0"/>
    <x v="212"/>
    <x v="102"/>
    <n v="12830"/>
  </r>
  <r>
    <x v="2"/>
    <x v="160"/>
    <x v="102"/>
    <n v="34897"/>
  </r>
  <r>
    <x v="2"/>
    <x v="236"/>
    <x v="102"/>
    <n v="37399"/>
  </r>
  <r>
    <x v="4"/>
    <x v="62"/>
    <x v="102"/>
    <n v="5200"/>
  </r>
  <r>
    <x v="11"/>
    <x v="234"/>
    <x v="102"/>
    <n v="13029"/>
  </r>
  <r>
    <x v="9"/>
    <x v="197"/>
    <x v="102"/>
    <n v="18305"/>
  </r>
  <r>
    <x v="5"/>
    <x v="169"/>
    <x v="102"/>
    <n v="24301"/>
  </r>
  <r>
    <x v="7"/>
    <x v="54"/>
    <x v="102"/>
    <n v="44014"/>
  </r>
  <r>
    <x v="7"/>
    <x v="118"/>
    <x v="102"/>
    <n v="38164"/>
  </r>
  <r>
    <x v="7"/>
    <x v="211"/>
    <x v="102"/>
    <n v="30628"/>
  </r>
  <r>
    <x v="8"/>
    <x v="55"/>
    <x v="102"/>
    <n v="41232"/>
  </r>
  <r>
    <x v="8"/>
    <x v="194"/>
    <x v="102"/>
    <n v="44818"/>
  </r>
  <r>
    <x v="8"/>
    <x v="143"/>
    <x v="102"/>
    <n v="59043"/>
  </r>
  <r>
    <x v="8"/>
    <x v="130"/>
    <x v="102"/>
    <n v="37004"/>
  </r>
  <r>
    <x v="2"/>
    <x v="181"/>
    <x v="103"/>
    <n v="31834"/>
  </r>
  <r>
    <x v="2"/>
    <x v="94"/>
    <x v="103"/>
    <n v="49053"/>
  </r>
  <r>
    <x v="11"/>
    <x v="126"/>
    <x v="103"/>
    <n v="14143"/>
  </r>
  <r>
    <x v="5"/>
    <x v="133"/>
    <x v="103"/>
    <n v="19461"/>
  </r>
  <r>
    <x v="6"/>
    <x v="36"/>
    <x v="103"/>
    <n v="27592"/>
  </r>
  <r>
    <x v="7"/>
    <x v="71"/>
    <x v="103"/>
    <n v="40029"/>
  </r>
  <r>
    <x v="7"/>
    <x v="179"/>
    <x v="103"/>
    <n v="31306"/>
  </r>
  <r>
    <x v="8"/>
    <x v="29"/>
    <x v="103"/>
    <n v="41806"/>
  </r>
  <r>
    <x v="8"/>
    <x v="113"/>
    <x v="103"/>
    <n v="40648"/>
  </r>
  <r>
    <x v="2"/>
    <x v="18"/>
    <x v="104"/>
    <n v="31084"/>
  </r>
  <r>
    <x v="11"/>
    <x v="209"/>
    <x v="104"/>
    <n v="30799"/>
  </r>
  <r>
    <x v="9"/>
    <x v="64"/>
    <x v="104"/>
    <n v="24198"/>
  </r>
  <r>
    <x v="5"/>
    <x v="199"/>
    <x v="104"/>
    <n v="26055"/>
  </r>
  <r>
    <x v="12"/>
    <x v="35"/>
    <x v="104"/>
    <n v="15112"/>
  </r>
  <r>
    <x v="6"/>
    <x v="235"/>
    <x v="104"/>
    <n v="28019"/>
  </r>
  <r>
    <x v="7"/>
    <x v="87"/>
    <x v="104"/>
    <n v="37759"/>
  </r>
  <r>
    <x v="7"/>
    <x v="230"/>
    <x v="104"/>
    <n v="39834"/>
  </r>
  <r>
    <x v="7"/>
    <x v="180"/>
    <x v="104"/>
    <n v="40828"/>
  </r>
  <r>
    <x v="7"/>
    <x v="38"/>
    <x v="104"/>
    <n v="41514"/>
  </r>
  <r>
    <x v="8"/>
    <x v="81"/>
    <x v="104"/>
    <n v="41637"/>
  </r>
  <r>
    <x v="8"/>
    <x v="14"/>
    <x v="104"/>
    <n v="42829"/>
  </r>
  <r>
    <x v="8"/>
    <x v="15"/>
    <x v="104"/>
    <n v="37478"/>
  </r>
  <r>
    <x v="2"/>
    <x v="134"/>
    <x v="105"/>
    <n v="42688"/>
  </r>
  <r>
    <x v="13"/>
    <x v="69"/>
    <x v="105"/>
    <n v="20946"/>
  </r>
  <r>
    <x v="11"/>
    <x v="204"/>
    <x v="105"/>
    <n v="11649"/>
  </r>
  <r>
    <x v="9"/>
    <x v="141"/>
    <x v="105"/>
    <n v="25451"/>
  </r>
  <r>
    <x v="5"/>
    <x v="8"/>
    <x v="105"/>
    <n v="15916"/>
  </r>
  <r>
    <x v="5"/>
    <x v="165"/>
    <x v="105"/>
    <n v="15748"/>
  </r>
  <r>
    <x v="6"/>
    <x v="188"/>
    <x v="105"/>
    <n v="19008"/>
  </r>
  <r>
    <x v="7"/>
    <x v="217"/>
    <x v="105"/>
    <n v="27536"/>
  </r>
  <r>
    <x v="7"/>
    <x v="22"/>
    <x v="105"/>
    <n v="51361"/>
  </r>
  <r>
    <x v="7"/>
    <x v="19"/>
    <x v="105"/>
    <n v="33053"/>
  </r>
  <r>
    <x v="8"/>
    <x v="129"/>
    <x v="105"/>
    <n v="59668"/>
  </r>
  <r>
    <x v="8"/>
    <x v="41"/>
    <x v="105"/>
    <n v="49347"/>
  </r>
  <r>
    <x v="8"/>
    <x v="84"/>
    <x v="105"/>
    <n v="45497"/>
  </r>
  <r>
    <x v="2"/>
    <x v="178"/>
    <x v="106"/>
    <n v="36190"/>
  </r>
  <r>
    <x v="2"/>
    <x v="140"/>
    <x v="106"/>
    <n v="37750"/>
  </r>
  <r>
    <x v="13"/>
    <x v="116"/>
    <x v="106"/>
    <n v="17529"/>
  </r>
  <r>
    <x v="11"/>
    <x v="184"/>
    <x v="106"/>
    <n v="18797"/>
  </r>
  <r>
    <x v="14"/>
    <x v="208"/>
    <x v="106"/>
    <n v="28633"/>
  </r>
  <r>
    <x v="9"/>
    <x v="168"/>
    <x v="106"/>
    <n v="39764"/>
  </r>
  <r>
    <x v="12"/>
    <x v="5"/>
    <x v="106"/>
    <n v="11079"/>
  </r>
  <r>
    <x v="6"/>
    <x v="9"/>
    <x v="106"/>
    <n v="25468"/>
  </r>
  <r>
    <x v="6"/>
    <x v="216"/>
    <x v="106"/>
    <n v="33340"/>
  </r>
  <r>
    <x v="6"/>
    <x v="2"/>
    <x v="106"/>
    <n v="24272"/>
  </r>
  <r>
    <x v="6"/>
    <x v="152"/>
    <x v="106"/>
    <n v="26197"/>
  </r>
  <r>
    <x v="6"/>
    <x v="10"/>
    <x v="106"/>
    <n v="28322"/>
  </r>
  <r>
    <x v="8"/>
    <x v="27"/>
    <x v="106"/>
    <n v="35727"/>
  </r>
  <r>
    <x v="8"/>
    <x v="74"/>
    <x v="106"/>
    <n v="28845"/>
  </r>
  <r>
    <x v="8"/>
    <x v="120"/>
    <x v="106"/>
    <n v="40978"/>
  </r>
  <r>
    <x v="2"/>
    <x v="193"/>
    <x v="107"/>
    <n v="42319"/>
  </r>
  <r>
    <x v="2"/>
    <x v="153"/>
    <x v="107"/>
    <n v="35146"/>
  </r>
  <r>
    <x v="4"/>
    <x v="206"/>
    <x v="107"/>
    <n v="14504"/>
  </r>
  <r>
    <x v="11"/>
    <x v="231"/>
    <x v="107"/>
    <n v="14885"/>
  </r>
  <r>
    <x v="12"/>
    <x v="92"/>
    <x v="107"/>
    <n v="23749"/>
  </r>
  <r>
    <x v="7"/>
    <x v="72"/>
    <x v="107"/>
    <n v="46412"/>
  </r>
  <r>
    <x v="7"/>
    <x v="12"/>
    <x v="107"/>
    <n v="32889"/>
  </r>
  <r>
    <x v="8"/>
    <x v="137"/>
    <x v="107"/>
    <n v="28290"/>
  </r>
  <r>
    <x v="8"/>
    <x v="41"/>
    <x v="107"/>
    <n v="55067"/>
  </r>
  <r>
    <x v="2"/>
    <x v="149"/>
    <x v="108"/>
    <n v="34611"/>
  </r>
  <r>
    <x v="2"/>
    <x v="183"/>
    <x v="108"/>
    <n v="36416"/>
  </r>
  <r>
    <x v="2"/>
    <x v="162"/>
    <x v="108"/>
    <n v="47199"/>
  </r>
  <r>
    <x v="16"/>
    <x v="99"/>
    <x v="108"/>
    <n v="15899"/>
  </r>
  <r>
    <x v="14"/>
    <x v="48"/>
    <x v="108"/>
    <n v="28708"/>
  </r>
  <r>
    <x v="9"/>
    <x v="91"/>
    <x v="108"/>
    <n v="19002"/>
  </r>
  <r>
    <x v="6"/>
    <x v="56"/>
    <x v="108"/>
    <n v="38114"/>
  </r>
  <r>
    <x v="7"/>
    <x v="87"/>
    <x v="108"/>
    <n v="27797"/>
  </r>
  <r>
    <x v="8"/>
    <x v="55"/>
    <x v="108"/>
    <n v="42876"/>
  </r>
  <r>
    <x v="8"/>
    <x v="55"/>
    <x v="108"/>
    <n v="40696"/>
  </r>
  <r>
    <x v="8"/>
    <x v="179"/>
    <x v="108"/>
    <n v="40423"/>
  </r>
  <r>
    <x v="8"/>
    <x v="150"/>
    <x v="108"/>
    <n v="32814"/>
  </r>
  <r>
    <x v="8"/>
    <x v="137"/>
    <x v="108"/>
    <n v="25879"/>
  </r>
  <r>
    <x v="8"/>
    <x v="195"/>
    <x v="108"/>
    <n v="47293"/>
  </r>
  <r>
    <x v="8"/>
    <x v="82"/>
    <x v="108"/>
    <n v="44785"/>
  </r>
  <r>
    <x v="8"/>
    <x v="113"/>
    <x v="108"/>
    <n v="43469"/>
  </r>
  <r>
    <x v="8"/>
    <x v="41"/>
    <x v="108"/>
    <n v="42352"/>
  </r>
  <r>
    <x v="3"/>
    <x v="173"/>
    <x v="109"/>
    <n v="16247"/>
  </r>
  <r>
    <x v="13"/>
    <x v="202"/>
    <x v="109"/>
    <n v="20553"/>
  </r>
  <r>
    <x v="14"/>
    <x v="226"/>
    <x v="109"/>
    <n v="13453"/>
  </r>
  <r>
    <x v="9"/>
    <x v="32"/>
    <x v="109"/>
    <n v="11217"/>
  </r>
  <r>
    <x v="9"/>
    <x v="107"/>
    <x v="109"/>
    <n v="41652"/>
  </r>
  <r>
    <x v="9"/>
    <x v="34"/>
    <x v="109"/>
    <n v="19853"/>
  </r>
  <r>
    <x v="15"/>
    <x v="76"/>
    <x v="109"/>
    <n v="14033"/>
  </r>
  <r>
    <x v="7"/>
    <x v="37"/>
    <x v="109"/>
    <n v="45209"/>
  </r>
  <r>
    <x v="7"/>
    <x v="236"/>
    <x v="109"/>
    <n v="38012"/>
  </r>
  <r>
    <x v="8"/>
    <x v="14"/>
    <x v="109"/>
    <n v="46101"/>
  </r>
  <r>
    <x v="8"/>
    <x v="112"/>
    <x v="109"/>
    <n v="40817"/>
  </r>
  <r>
    <x v="8"/>
    <x v="130"/>
    <x v="109"/>
    <n v="43781"/>
  </r>
  <r>
    <x v="8"/>
    <x v="103"/>
    <x v="109"/>
    <n v="40815"/>
  </r>
  <r>
    <x v="8"/>
    <x v="89"/>
    <x v="109"/>
    <n v="53995"/>
  </r>
  <r>
    <x v="2"/>
    <x v="23"/>
    <x v="110"/>
    <n v="27492"/>
  </r>
  <r>
    <x v="3"/>
    <x v="42"/>
    <x v="110"/>
    <n v="12051"/>
  </r>
  <r>
    <x v="13"/>
    <x v="106"/>
    <x v="110"/>
    <n v="21910"/>
  </r>
  <r>
    <x v="13"/>
    <x v="69"/>
    <x v="110"/>
    <n v="20674"/>
  </r>
  <r>
    <x v="5"/>
    <x v="6"/>
    <x v="110"/>
    <n v="21111"/>
  </r>
  <r>
    <x v="5"/>
    <x v="122"/>
    <x v="110"/>
    <n v="24806"/>
  </r>
  <r>
    <x v="6"/>
    <x v="171"/>
    <x v="110"/>
    <n v="36496"/>
  </r>
  <r>
    <x v="7"/>
    <x v="88"/>
    <x v="110"/>
    <n v="33426"/>
  </r>
  <r>
    <x v="7"/>
    <x v="111"/>
    <x v="110"/>
    <n v="31484"/>
  </r>
  <r>
    <x v="8"/>
    <x v="30"/>
    <x v="110"/>
    <n v="59790"/>
  </r>
  <r>
    <x v="8"/>
    <x v="58"/>
    <x v="110"/>
    <n v="50709"/>
  </r>
  <r>
    <x v="2"/>
    <x v="136"/>
    <x v="111"/>
    <n v="7875"/>
  </r>
  <r>
    <x v="2"/>
    <x v="90"/>
    <x v="111"/>
    <n v="14916"/>
  </r>
  <r>
    <x v="13"/>
    <x v="44"/>
    <x v="111"/>
    <n v="17096"/>
  </r>
  <r>
    <x v="11"/>
    <x v="31"/>
    <x v="111"/>
    <n v="17766"/>
  </r>
  <r>
    <x v="5"/>
    <x v="50"/>
    <x v="111"/>
    <n v="21170"/>
  </r>
  <r>
    <x v="6"/>
    <x v="11"/>
    <x v="111"/>
    <n v="27681"/>
  </r>
  <r>
    <x v="6"/>
    <x v="142"/>
    <x v="111"/>
    <n v="35886"/>
  </r>
  <r>
    <x v="7"/>
    <x v="201"/>
    <x v="111"/>
    <n v="32648"/>
  </r>
  <r>
    <x v="8"/>
    <x v="154"/>
    <x v="111"/>
    <n v="47281"/>
  </r>
  <r>
    <x v="8"/>
    <x v="102"/>
    <x v="111"/>
    <n v="48964"/>
  </r>
  <r>
    <x v="8"/>
    <x v="40"/>
    <x v="111"/>
    <n v="52775"/>
  </r>
  <r>
    <x v="8"/>
    <x v="135"/>
    <x v="111"/>
    <n v="46434"/>
  </r>
  <r>
    <x v="7"/>
    <x v="26"/>
    <x v="112"/>
    <n v="39131"/>
  </r>
  <r>
    <x v="8"/>
    <x v="150"/>
    <x v="112"/>
    <n v="30350"/>
  </r>
  <r>
    <x v="8"/>
    <x v="58"/>
    <x v="112"/>
    <n v="50534"/>
  </r>
  <r>
    <x v="14"/>
    <x v="100"/>
    <x v="113"/>
    <n v="13384"/>
  </r>
  <r>
    <x v="6"/>
    <x v="187"/>
    <x v="113"/>
    <n v="31207"/>
  </r>
  <r>
    <x v="7"/>
    <x v="124"/>
    <x v="113"/>
    <n v="34999"/>
  </r>
  <r>
    <x v="7"/>
    <x v="236"/>
    <x v="113"/>
    <n v="49971"/>
  </r>
  <r>
    <x v="8"/>
    <x v="94"/>
    <x v="113"/>
    <n v="39008"/>
  </r>
  <r>
    <x v="8"/>
    <x v="28"/>
    <x v="113"/>
    <n v="40194"/>
  </r>
  <r>
    <x v="8"/>
    <x v="113"/>
    <x v="113"/>
    <n v="37600"/>
  </r>
  <r>
    <x v="8"/>
    <x v="59"/>
    <x v="113"/>
    <n v="34996"/>
  </r>
  <r>
    <x v="8"/>
    <x v="3"/>
    <x v="113"/>
    <n v="38521"/>
  </r>
  <r>
    <x v="9"/>
    <x v="198"/>
    <x v="114"/>
    <n v="21138"/>
  </r>
  <r>
    <x v="18"/>
    <x v="163"/>
    <x v="114"/>
    <n v="30360"/>
  </r>
  <r>
    <x v="6"/>
    <x v="51"/>
    <x v="114"/>
    <n v="24704"/>
  </r>
  <r>
    <x v="6"/>
    <x v="77"/>
    <x v="114"/>
    <n v="30304"/>
  </r>
  <r>
    <x v="6"/>
    <x v="80"/>
    <x v="114"/>
    <n v="23299"/>
  </r>
  <r>
    <x v="19"/>
    <x v="200"/>
    <x v="114"/>
    <n v="13189"/>
  </r>
  <r>
    <x v="7"/>
    <x v="217"/>
    <x v="114"/>
    <n v="26955"/>
  </r>
  <r>
    <x v="7"/>
    <x v="124"/>
    <x v="114"/>
    <n v="33810"/>
  </r>
  <r>
    <x v="7"/>
    <x v="132"/>
    <x v="114"/>
    <n v="41779"/>
  </r>
  <r>
    <x v="8"/>
    <x v="144"/>
    <x v="114"/>
    <n v="43850"/>
  </r>
  <r>
    <x v="8"/>
    <x v="113"/>
    <x v="114"/>
    <n v="30962"/>
  </r>
  <r>
    <x v="9"/>
    <x v="68"/>
    <x v="115"/>
    <n v="17676"/>
  </r>
  <r>
    <x v="5"/>
    <x v="123"/>
    <x v="115"/>
    <n v="19025"/>
  </r>
  <r>
    <x v="12"/>
    <x v="177"/>
    <x v="115"/>
    <n v="17242"/>
  </r>
  <r>
    <x v="12"/>
    <x v="45"/>
    <x v="115"/>
    <n v="24076"/>
  </r>
  <r>
    <x v="2"/>
    <x v="182"/>
    <x v="116"/>
    <n v="35054"/>
  </r>
  <r>
    <x v="2"/>
    <x v="161"/>
    <x v="116"/>
    <n v="43535"/>
  </r>
  <r>
    <x v="2"/>
    <x v="232"/>
    <x v="116"/>
    <n v="45769"/>
  </r>
  <r>
    <x v="13"/>
    <x v="172"/>
    <x v="116"/>
    <n v="18249"/>
  </r>
  <r>
    <x v="5"/>
    <x v="151"/>
    <x v="116"/>
    <n v="24092"/>
  </r>
  <r>
    <x v="6"/>
    <x v="52"/>
    <x v="116"/>
    <n v="33590"/>
  </r>
  <r>
    <x v="7"/>
    <x v="156"/>
    <x v="116"/>
    <n v="30116"/>
  </r>
  <r>
    <x v="7"/>
    <x v="53"/>
    <x v="116"/>
    <n v="30773"/>
  </r>
  <r>
    <x v="7"/>
    <x v="73"/>
    <x v="116"/>
    <n v="55698"/>
  </r>
  <r>
    <x v="7"/>
    <x v="46"/>
    <x v="116"/>
    <n v="32321"/>
  </r>
  <r>
    <x v="8"/>
    <x v="102"/>
    <x v="116"/>
    <n v="41318"/>
  </r>
  <r>
    <x v="8"/>
    <x v="81"/>
    <x v="116"/>
    <n v="51513"/>
  </r>
  <r>
    <x v="8"/>
    <x v="112"/>
    <x v="116"/>
    <n v="39469"/>
  </r>
  <r>
    <x v="8"/>
    <x v="59"/>
    <x v="116"/>
    <n v="31933"/>
  </r>
  <r>
    <x v="2"/>
    <x v="233"/>
    <x v="117"/>
    <n v="42919"/>
  </r>
  <r>
    <x v="3"/>
    <x v="155"/>
    <x v="117"/>
    <n v="16017"/>
  </r>
  <r>
    <x v="13"/>
    <x v="61"/>
    <x v="117"/>
    <n v="16445"/>
  </r>
  <r>
    <x v="18"/>
    <x v="176"/>
    <x v="117"/>
    <n v="5200"/>
  </r>
  <r>
    <x v="7"/>
    <x v="12"/>
    <x v="117"/>
    <n v="26915"/>
  </r>
  <r>
    <x v="7"/>
    <x v="111"/>
    <x v="117"/>
    <n v="37507"/>
  </r>
  <r>
    <x v="8"/>
    <x v="47"/>
    <x v="117"/>
    <n v="47960"/>
  </r>
  <r>
    <x v="8"/>
    <x v="195"/>
    <x v="117"/>
    <n v="43462"/>
  </r>
  <r>
    <x v="8"/>
    <x v="83"/>
    <x v="117"/>
    <n v="44409"/>
  </r>
  <r>
    <x v="2"/>
    <x v="222"/>
    <x v="118"/>
    <n v="15970"/>
  </r>
  <r>
    <x v="2"/>
    <x v="154"/>
    <x v="118"/>
    <n v="45347"/>
  </r>
  <r>
    <x v="2"/>
    <x v="105"/>
    <x v="118"/>
    <n v="29520"/>
  </r>
  <r>
    <x v="2"/>
    <x v="213"/>
    <x v="118"/>
    <n v="23560"/>
  </r>
  <r>
    <x v="3"/>
    <x v="43"/>
    <x v="118"/>
    <n v="6008"/>
  </r>
  <r>
    <x v="13"/>
    <x v="114"/>
    <x v="118"/>
    <n v="5589"/>
  </r>
  <r>
    <x v="9"/>
    <x v="219"/>
    <x v="118"/>
    <n v="24922"/>
  </r>
  <r>
    <x v="10"/>
    <x v="21"/>
    <x v="118"/>
    <n v="14570"/>
  </r>
  <r>
    <x v="6"/>
    <x v="117"/>
    <x v="118"/>
    <n v="23372"/>
  </r>
  <r>
    <x v="6"/>
    <x v="65"/>
    <x v="118"/>
    <n v="33094"/>
  </r>
  <r>
    <x v="6"/>
    <x v="196"/>
    <x v="118"/>
    <n v="27758"/>
  </r>
  <r>
    <x v="7"/>
    <x v="88"/>
    <x v="118"/>
    <n v="36717"/>
  </r>
  <r>
    <x v="7"/>
    <x v="179"/>
    <x v="118"/>
    <n v="45717"/>
  </r>
  <r>
    <x v="7"/>
    <x v="138"/>
    <x v="118"/>
    <n v="26706"/>
  </r>
  <r>
    <x v="7"/>
    <x v="180"/>
    <x v="118"/>
    <n v="39260"/>
  </r>
  <r>
    <x v="8"/>
    <x v="66"/>
    <x v="118"/>
    <n v="43315"/>
  </r>
  <r>
    <x v="8"/>
    <x v="15"/>
    <x v="118"/>
    <n v="40238"/>
  </r>
  <r>
    <x v="8"/>
    <x v="144"/>
    <x v="118"/>
    <n v="33644"/>
  </r>
  <r>
    <x v="8"/>
    <x v="67"/>
    <x v="118"/>
    <n v="50590"/>
  </r>
  <r>
    <x v="0"/>
    <x v="159"/>
    <x v="119"/>
    <n v="13064"/>
  </r>
  <r>
    <x v="0"/>
    <x v="85"/>
    <x v="119"/>
    <n v="32090"/>
  </r>
  <r>
    <x v="2"/>
    <x v="75"/>
    <x v="119"/>
    <n v="39259"/>
  </r>
  <r>
    <x v="2"/>
    <x v="18"/>
    <x v="119"/>
    <n v="32947"/>
  </r>
  <r>
    <x v="2"/>
    <x v="229"/>
    <x v="119"/>
    <n v="36355"/>
  </r>
  <r>
    <x v="2"/>
    <x v="213"/>
    <x v="119"/>
    <n v="32964"/>
  </r>
  <r>
    <x v="4"/>
    <x v="98"/>
    <x v="119"/>
    <n v="14728"/>
  </r>
  <r>
    <x v="10"/>
    <x v="175"/>
    <x v="119"/>
    <n v="14587"/>
  </r>
  <r>
    <x v="5"/>
    <x v="214"/>
    <x v="119"/>
    <n v="17528"/>
  </r>
  <r>
    <x v="6"/>
    <x v="221"/>
    <x v="119"/>
    <n v="23782"/>
  </r>
  <r>
    <x v="7"/>
    <x v="51"/>
    <x v="119"/>
    <n v="34047"/>
  </r>
  <r>
    <x v="7"/>
    <x v="71"/>
    <x v="119"/>
    <n v="28788"/>
  </r>
  <r>
    <x v="7"/>
    <x v="79"/>
    <x v="119"/>
    <n v="27222"/>
  </r>
  <r>
    <x v="8"/>
    <x v="57"/>
    <x v="119"/>
    <n v="39194"/>
  </r>
  <r>
    <x v="8"/>
    <x v="103"/>
    <x v="119"/>
    <n v="37540"/>
  </r>
  <r>
    <x v="11"/>
    <x v="231"/>
    <x v="120"/>
    <n v="5200"/>
  </r>
  <r>
    <x v="9"/>
    <x v="107"/>
    <x v="120"/>
    <n v="30627"/>
  </r>
  <r>
    <x v="9"/>
    <x v="34"/>
    <x v="120"/>
    <n v="20860"/>
  </r>
  <r>
    <x v="6"/>
    <x v="117"/>
    <x v="120"/>
    <n v="23058"/>
  </r>
  <r>
    <x v="6"/>
    <x v="187"/>
    <x v="120"/>
    <n v="17716"/>
  </r>
  <r>
    <x v="7"/>
    <x v="124"/>
    <x v="120"/>
    <n v="42134"/>
  </r>
  <r>
    <x v="7"/>
    <x v="93"/>
    <x v="120"/>
    <n v="25997"/>
  </r>
  <r>
    <x v="8"/>
    <x v="195"/>
    <x v="120"/>
    <n v="35057"/>
  </r>
  <r>
    <x v="8"/>
    <x v="41"/>
    <x v="120"/>
    <n v="41163"/>
  </r>
  <r>
    <x v="0"/>
    <x v="0"/>
    <x v="121"/>
    <n v="14493"/>
  </r>
  <r>
    <x v="0"/>
    <x v="85"/>
    <x v="121"/>
    <n v="8347"/>
  </r>
  <r>
    <x v="2"/>
    <x v="196"/>
    <x v="121"/>
    <n v="14168"/>
  </r>
  <r>
    <x v="2"/>
    <x v="193"/>
    <x v="121"/>
    <n v="44693"/>
  </r>
  <r>
    <x v="14"/>
    <x v="48"/>
    <x v="121"/>
    <n v="31107"/>
  </r>
  <r>
    <x v="9"/>
    <x v="147"/>
    <x v="121"/>
    <n v="19764"/>
  </r>
  <r>
    <x v="9"/>
    <x v="198"/>
    <x v="121"/>
    <n v="18864"/>
  </r>
  <r>
    <x v="5"/>
    <x v="50"/>
    <x v="121"/>
    <n v="19390"/>
  </r>
  <r>
    <x v="12"/>
    <x v="167"/>
    <x v="121"/>
    <n v="15334"/>
  </r>
  <r>
    <x v="7"/>
    <x v="53"/>
    <x v="121"/>
    <n v="27404"/>
  </r>
  <r>
    <x v="7"/>
    <x v="71"/>
    <x v="121"/>
    <n v="35109"/>
  </r>
  <r>
    <x v="7"/>
    <x v="124"/>
    <x v="121"/>
    <n v="35294"/>
  </r>
  <r>
    <x v="7"/>
    <x v="142"/>
    <x v="121"/>
    <n v="33971"/>
  </r>
  <r>
    <x v="8"/>
    <x v="27"/>
    <x v="121"/>
    <n v="37890"/>
  </r>
  <r>
    <x v="8"/>
    <x v="137"/>
    <x v="121"/>
    <n v="43059"/>
  </r>
  <r>
    <x v="8"/>
    <x v="103"/>
    <x v="121"/>
    <n v="44552"/>
  </r>
  <r>
    <x v="0"/>
    <x v="159"/>
    <x v="122"/>
    <n v="18172"/>
  </r>
  <r>
    <x v="2"/>
    <x v="75"/>
    <x v="122"/>
    <n v="28628"/>
  </r>
  <r>
    <x v="2"/>
    <x v="19"/>
    <x v="122"/>
    <n v="34952"/>
  </r>
  <r>
    <x v="9"/>
    <x v="20"/>
    <x v="122"/>
    <n v="21054"/>
  </r>
  <r>
    <x v="7"/>
    <x v="80"/>
    <x v="122"/>
    <n v="28409"/>
  </r>
  <r>
    <x v="8"/>
    <x v="74"/>
    <x v="122"/>
    <n v="26273"/>
  </r>
  <r>
    <x v="8"/>
    <x v="143"/>
    <x v="122"/>
    <n v="45079"/>
  </r>
  <r>
    <x v="8"/>
    <x v="143"/>
    <x v="122"/>
    <n v="44857"/>
  </r>
  <r>
    <x v="8"/>
    <x v="103"/>
    <x v="122"/>
    <n v="54533"/>
  </r>
  <r>
    <x v="8"/>
    <x v="103"/>
    <x v="122"/>
    <n v="50953"/>
  </r>
  <r>
    <x v="8"/>
    <x v="83"/>
    <x v="122"/>
    <n v="22906"/>
  </r>
  <r>
    <x v="2"/>
    <x v="224"/>
    <x v="123"/>
    <n v="28622"/>
  </r>
  <r>
    <x v="2"/>
    <x v="56"/>
    <x v="123"/>
    <n v="29936"/>
  </r>
  <r>
    <x v="2"/>
    <x v="60"/>
    <x v="123"/>
    <n v="42284"/>
  </r>
  <r>
    <x v="13"/>
    <x v="172"/>
    <x v="123"/>
    <n v="17978"/>
  </r>
  <r>
    <x v="10"/>
    <x v="226"/>
    <x v="123"/>
    <n v="12788"/>
  </r>
  <r>
    <x v="7"/>
    <x v="87"/>
    <x v="123"/>
    <n v="25236"/>
  </r>
  <r>
    <x v="7"/>
    <x v="54"/>
    <x v="123"/>
    <n v="42287"/>
  </r>
  <r>
    <x v="7"/>
    <x v="178"/>
    <x v="123"/>
    <n v="27582"/>
  </r>
  <r>
    <x v="7"/>
    <x v="46"/>
    <x v="123"/>
    <n v="35178"/>
  </r>
  <r>
    <x v="7"/>
    <x v="142"/>
    <x v="123"/>
    <n v="38536"/>
  </r>
  <r>
    <x v="8"/>
    <x v="15"/>
    <x v="123"/>
    <n v="37642"/>
  </r>
  <r>
    <x v="8"/>
    <x v="82"/>
    <x v="123"/>
    <n v="46768"/>
  </r>
  <r>
    <x v="8"/>
    <x v="84"/>
    <x v="123"/>
    <n v="37906"/>
  </r>
  <r>
    <x v="8"/>
    <x v="67"/>
    <x v="123"/>
    <n v="42362"/>
  </r>
  <r>
    <x v="6"/>
    <x v="133"/>
    <x v="124"/>
    <n v="15702"/>
  </r>
  <r>
    <x v="6"/>
    <x v="220"/>
    <x v="124"/>
    <n v="27002"/>
  </r>
  <r>
    <x v="7"/>
    <x v="236"/>
    <x v="124"/>
    <n v="40198"/>
  </r>
  <r>
    <x v="7"/>
    <x v="12"/>
    <x v="124"/>
    <n v="54137"/>
  </r>
  <r>
    <x v="8"/>
    <x v="27"/>
    <x v="124"/>
    <n v="45215"/>
  </r>
  <r>
    <x v="8"/>
    <x v="194"/>
    <x v="124"/>
    <n v="45272"/>
  </r>
  <r>
    <x v="8"/>
    <x v="144"/>
    <x v="124"/>
    <n v="39379"/>
  </r>
  <r>
    <x v="8"/>
    <x v="112"/>
    <x v="124"/>
    <n v="43705"/>
  </r>
  <r>
    <x v="14"/>
    <x v="208"/>
    <x v="125"/>
    <n v="12777"/>
  </r>
  <r>
    <x v="6"/>
    <x v="228"/>
    <x v="125"/>
    <n v="31434"/>
  </r>
  <r>
    <x v="8"/>
    <x v="27"/>
    <x v="125"/>
    <n v="33872"/>
  </r>
  <r>
    <x v="8"/>
    <x v="28"/>
    <x v="125"/>
    <n v="44598"/>
  </r>
  <r>
    <x v="8"/>
    <x v="143"/>
    <x v="125"/>
    <n v="36780"/>
  </r>
  <r>
    <x v="8"/>
    <x v="112"/>
    <x v="125"/>
    <n v="43881"/>
  </r>
  <r>
    <x v="8"/>
    <x v="113"/>
    <x v="125"/>
    <n v="45171"/>
  </r>
  <r>
    <x v="8"/>
    <x v="103"/>
    <x v="125"/>
    <n v="54631"/>
  </r>
  <r>
    <x v="8"/>
    <x v="41"/>
    <x v="125"/>
    <n v="37868"/>
  </r>
  <r>
    <x v="2"/>
    <x v="190"/>
    <x v="126"/>
    <n v="33396"/>
  </r>
  <r>
    <x v="2"/>
    <x v="140"/>
    <x v="126"/>
    <n v="37172"/>
  </r>
  <r>
    <x v="2"/>
    <x v="162"/>
    <x v="126"/>
    <n v="49787"/>
  </r>
  <r>
    <x v="5"/>
    <x v="36"/>
    <x v="126"/>
    <n v="26921"/>
  </r>
  <r>
    <x v="6"/>
    <x v="24"/>
    <x v="126"/>
    <n v="8674"/>
  </r>
  <r>
    <x v="7"/>
    <x v="37"/>
    <x v="126"/>
    <n v="42155"/>
  </r>
  <r>
    <x v="7"/>
    <x v="119"/>
    <x v="126"/>
    <n v="39294"/>
  </r>
  <r>
    <x v="7"/>
    <x v="13"/>
    <x v="126"/>
    <n v="50646"/>
  </r>
  <r>
    <x v="8"/>
    <x v="131"/>
    <x v="126"/>
    <n v="39490"/>
  </r>
  <r>
    <x v="11"/>
    <x v="184"/>
    <x v="127"/>
    <n v="17639"/>
  </r>
  <r>
    <x v="11"/>
    <x v="203"/>
    <x v="127"/>
    <n v="17947"/>
  </r>
  <r>
    <x v="9"/>
    <x v="146"/>
    <x v="127"/>
    <n v="16595"/>
  </r>
  <r>
    <x v="18"/>
    <x v="163"/>
    <x v="127"/>
    <n v="31750"/>
  </r>
  <r>
    <x v="12"/>
    <x v="177"/>
    <x v="127"/>
    <n v="15144"/>
  </r>
  <r>
    <x v="6"/>
    <x v="65"/>
    <x v="127"/>
    <n v="34013"/>
  </r>
  <r>
    <x v="6"/>
    <x v="132"/>
    <x v="127"/>
    <n v="43515"/>
  </r>
  <r>
    <x v="7"/>
    <x v="78"/>
    <x v="127"/>
    <n v="26269"/>
  </r>
  <r>
    <x v="7"/>
    <x v="72"/>
    <x v="127"/>
    <n v="42017"/>
  </r>
  <r>
    <x v="7"/>
    <x v="72"/>
    <x v="127"/>
    <n v="39225"/>
  </r>
  <r>
    <x v="7"/>
    <x v="134"/>
    <x v="127"/>
    <n v="32703"/>
  </r>
  <r>
    <x v="7"/>
    <x v="93"/>
    <x v="127"/>
    <n v="27915"/>
  </r>
  <r>
    <x v="8"/>
    <x v="30"/>
    <x v="127"/>
    <n v="38455"/>
  </r>
  <r>
    <x v="8"/>
    <x v="137"/>
    <x v="127"/>
    <n v="31325"/>
  </r>
  <r>
    <x v="8"/>
    <x v="67"/>
    <x v="127"/>
    <n v="30439"/>
  </r>
  <r>
    <x v="2"/>
    <x v="181"/>
    <x v="128"/>
    <n v="37670"/>
  </r>
  <r>
    <x v="2"/>
    <x v="149"/>
    <x v="128"/>
    <n v="34439"/>
  </r>
  <r>
    <x v="13"/>
    <x v="106"/>
    <x v="128"/>
    <n v="21346"/>
  </r>
  <r>
    <x v="14"/>
    <x v="101"/>
    <x v="128"/>
    <n v="15302"/>
  </r>
  <r>
    <x v="9"/>
    <x v="86"/>
    <x v="128"/>
    <n v="9554"/>
  </r>
  <r>
    <x v="6"/>
    <x v="52"/>
    <x v="128"/>
    <n v="42221"/>
  </r>
  <r>
    <x v="6"/>
    <x v="108"/>
    <x v="128"/>
    <n v="26863"/>
  </r>
  <r>
    <x v="7"/>
    <x v="110"/>
    <x v="128"/>
    <n v="23561"/>
  </r>
  <r>
    <x v="7"/>
    <x v="79"/>
    <x v="128"/>
    <n v="27194"/>
  </r>
  <r>
    <x v="8"/>
    <x v="144"/>
    <x v="128"/>
    <n v="40591"/>
  </r>
  <r>
    <x v="0"/>
    <x v="218"/>
    <x v="129"/>
    <n v="19537"/>
  </r>
  <r>
    <x v="13"/>
    <x v="6"/>
    <x v="129"/>
    <n v="21948"/>
  </r>
  <r>
    <x v="13"/>
    <x v="61"/>
    <x v="129"/>
    <n v="15991"/>
  </r>
  <r>
    <x v="5"/>
    <x v="7"/>
    <x v="129"/>
    <n v="7855"/>
  </r>
  <r>
    <x v="7"/>
    <x v="201"/>
    <x v="129"/>
    <n v="36582"/>
  </r>
  <r>
    <x v="7"/>
    <x v="111"/>
    <x v="129"/>
    <n v="29830"/>
  </r>
  <r>
    <x v="8"/>
    <x v="57"/>
    <x v="129"/>
    <n v="35000"/>
  </r>
  <r>
    <x v="8"/>
    <x v="84"/>
    <x v="129"/>
    <n v="31877"/>
  </r>
  <r>
    <x v="13"/>
    <x v="214"/>
    <x v="130"/>
    <n v="16694"/>
  </r>
  <r>
    <x v="11"/>
    <x v="204"/>
    <x v="130"/>
    <n v="5200"/>
  </r>
  <r>
    <x v="5"/>
    <x v="8"/>
    <x v="130"/>
    <n v="16381"/>
  </r>
  <r>
    <x v="6"/>
    <x v="88"/>
    <x v="130"/>
    <n v="28525"/>
  </r>
  <r>
    <x v="7"/>
    <x v="180"/>
    <x v="130"/>
    <n v="41823"/>
  </r>
  <r>
    <x v="7"/>
    <x v="211"/>
    <x v="130"/>
    <n v="35055"/>
  </r>
  <r>
    <x v="8"/>
    <x v="170"/>
    <x v="130"/>
    <n v="51276"/>
  </r>
  <r>
    <x v="8"/>
    <x v="102"/>
    <x v="130"/>
    <n v="33232"/>
  </r>
  <r>
    <x v="8"/>
    <x v="81"/>
    <x v="130"/>
    <n v="36356"/>
  </r>
  <r>
    <x v="2"/>
    <x v="105"/>
    <x v="131"/>
    <n v="17918"/>
  </r>
  <r>
    <x v="11"/>
    <x v="17"/>
    <x v="131"/>
    <n v="18858"/>
  </r>
  <r>
    <x v="10"/>
    <x v="185"/>
    <x v="131"/>
    <n v="5200"/>
  </r>
  <r>
    <x v="5"/>
    <x v="123"/>
    <x v="131"/>
    <n v="27694"/>
  </r>
  <r>
    <x v="12"/>
    <x v="109"/>
    <x v="131"/>
    <n v="13165"/>
  </r>
  <r>
    <x v="6"/>
    <x v="210"/>
    <x v="131"/>
    <n v="21381"/>
  </r>
  <r>
    <x v="7"/>
    <x v="87"/>
    <x v="131"/>
    <n v="24003"/>
  </r>
  <r>
    <x v="7"/>
    <x v="73"/>
    <x v="131"/>
    <n v="29932"/>
  </r>
  <r>
    <x v="8"/>
    <x v="128"/>
    <x v="131"/>
    <n v="24963"/>
  </r>
  <r>
    <x v="8"/>
    <x v="130"/>
    <x v="131"/>
    <n v="40139"/>
  </r>
  <r>
    <x v="0"/>
    <x v="223"/>
    <x v="132"/>
    <n v="15238"/>
  </r>
  <r>
    <x v="2"/>
    <x v="25"/>
    <x v="132"/>
    <n v="40855"/>
  </r>
  <r>
    <x v="2"/>
    <x v="171"/>
    <x v="132"/>
    <n v="35198"/>
  </r>
  <r>
    <x v="2"/>
    <x v="160"/>
    <x v="132"/>
    <n v="36597"/>
  </r>
  <r>
    <x v="4"/>
    <x v="96"/>
    <x v="132"/>
    <n v="19048"/>
  </r>
  <r>
    <x v="5"/>
    <x v="164"/>
    <x v="132"/>
    <n v="11285"/>
  </r>
  <r>
    <x v="7"/>
    <x v="102"/>
    <x v="132"/>
    <n v="23979"/>
  </r>
  <r>
    <x v="8"/>
    <x v="66"/>
    <x v="132"/>
    <n v="43037"/>
  </r>
  <r>
    <x v="8"/>
    <x v="137"/>
    <x v="132"/>
    <n v="31595"/>
  </r>
  <r>
    <x v="8"/>
    <x v="113"/>
    <x v="132"/>
    <n v="39264"/>
  </r>
  <r>
    <x v="8"/>
    <x v="3"/>
    <x v="132"/>
    <n v="54333"/>
  </r>
  <r>
    <x v="8"/>
    <x v="89"/>
    <x v="132"/>
    <n v="60079"/>
  </r>
  <r>
    <x v="2"/>
    <x v="95"/>
    <x v="133"/>
    <n v="33464"/>
  </r>
  <r>
    <x v="2"/>
    <x v="182"/>
    <x v="133"/>
    <n v="28339"/>
  </r>
  <r>
    <x v="4"/>
    <x v="62"/>
    <x v="133"/>
    <n v="19861"/>
  </r>
  <r>
    <x v="10"/>
    <x v="175"/>
    <x v="133"/>
    <n v="15202"/>
  </r>
  <r>
    <x v="5"/>
    <x v="148"/>
    <x v="133"/>
    <n v="18653"/>
  </r>
  <r>
    <x v="6"/>
    <x v="51"/>
    <x v="133"/>
    <n v="26970"/>
  </r>
  <r>
    <x v="6"/>
    <x v="229"/>
    <x v="133"/>
    <n v="32414"/>
  </r>
  <r>
    <x v="6"/>
    <x v="235"/>
    <x v="133"/>
    <n v="35371"/>
  </r>
  <r>
    <x v="7"/>
    <x v="30"/>
    <x v="133"/>
    <n v="40387"/>
  </r>
  <r>
    <x v="7"/>
    <x v="179"/>
    <x v="133"/>
    <n v="40833"/>
  </r>
  <r>
    <x v="8"/>
    <x v="30"/>
    <x v="133"/>
    <n v="33516"/>
  </r>
  <r>
    <x v="8"/>
    <x v="103"/>
    <x v="133"/>
    <n v="45371"/>
  </r>
  <r>
    <x v="8"/>
    <x v="120"/>
    <x v="133"/>
    <n v="41763"/>
  </r>
  <r>
    <x v="2"/>
    <x v="66"/>
    <x v="134"/>
    <n v="44864"/>
  </r>
  <r>
    <x v="11"/>
    <x v="174"/>
    <x v="134"/>
    <n v="11779"/>
  </r>
  <r>
    <x v="14"/>
    <x v="155"/>
    <x v="134"/>
    <n v="15722"/>
  </r>
  <r>
    <x v="9"/>
    <x v="91"/>
    <x v="134"/>
    <n v="18971"/>
  </r>
  <r>
    <x v="5"/>
    <x v="199"/>
    <x v="134"/>
    <n v="26045"/>
  </r>
  <r>
    <x v="15"/>
    <x v="76"/>
    <x v="134"/>
    <n v="14544"/>
  </r>
  <r>
    <x v="7"/>
    <x v="55"/>
    <x v="134"/>
    <n v="44465"/>
  </r>
  <r>
    <x v="7"/>
    <x v="73"/>
    <x v="134"/>
    <n v="27024"/>
  </r>
  <r>
    <x v="8"/>
    <x v="170"/>
    <x v="134"/>
    <n v="38121"/>
  </r>
  <r>
    <x v="8"/>
    <x v="40"/>
    <x v="134"/>
    <n v="44531"/>
  </r>
  <r>
    <x v="8"/>
    <x v="58"/>
    <x v="134"/>
    <n v="55258"/>
  </r>
  <r>
    <x v="2"/>
    <x v="136"/>
    <x v="135"/>
    <n v="27775"/>
  </r>
  <r>
    <x v="2"/>
    <x v="112"/>
    <x v="135"/>
    <n v="35868"/>
  </r>
  <r>
    <x v="14"/>
    <x v="100"/>
    <x v="135"/>
    <n v="13618"/>
  </r>
  <r>
    <x v="12"/>
    <x v="227"/>
    <x v="135"/>
    <n v="29016"/>
  </r>
  <r>
    <x v="8"/>
    <x v="28"/>
    <x v="135"/>
    <n v="36760"/>
  </r>
  <r>
    <x v="8"/>
    <x v="40"/>
    <x v="135"/>
    <n v="58312"/>
  </r>
  <r>
    <x v="8"/>
    <x v="143"/>
    <x v="135"/>
    <n v="50051"/>
  </r>
  <r>
    <x v="8"/>
    <x v="120"/>
    <x v="135"/>
    <n v="47833"/>
  </r>
  <r>
    <x v="8"/>
    <x v="120"/>
    <x v="135"/>
    <n v="37663"/>
  </r>
  <r>
    <x v="8"/>
    <x v="153"/>
    <x v="135"/>
    <n v="42127"/>
  </r>
  <r>
    <x v="2"/>
    <x v="157"/>
    <x v="136"/>
    <n v="40737"/>
  </r>
  <r>
    <x v="2"/>
    <x v="137"/>
    <x v="136"/>
    <n v="31629"/>
  </r>
  <r>
    <x v="2"/>
    <x v="161"/>
    <x v="136"/>
    <n v="42939"/>
  </r>
  <r>
    <x v="3"/>
    <x v="43"/>
    <x v="136"/>
    <n v="30491"/>
  </r>
  <r>
    <x v="9"/>
    <x v="168"/>
    <x v="136"/>
    <n v="11331"/>
  </r>
  <r>
    <x v="8"/>
    <x v="74"/>
    <x v="136"/>
    <n v="25720"/>
  </r>
  <r>
    <x v="8"/>
    <x v="59"/>
    <x v="136"/>
    <n v="35548"/>
  </r>
  <r>
    <x v="17"/>
    <x v="125"/>
    <x v="137"/>
    <n v="11214"/>
  </r>
  <r>
    <x v="17"/>
    <x v="158"/>
    <x v="137"/>
    <n v="9258"/>
  </r>
  <r>
    <x v="9"/>
    <x v="115"/>
    <x v="137"/>
    <n v="21996"/>
  </r>
  <r>
    <x v="5"/>
    <x v="122"/>
    <x v="137"/>
    <n v="24327"/>
  </r>
  <r>
    <x v="6"/>
    <x v="118"/>
    <x v="137"/>
    <n v="33323"/>
  </r>
  <r>
    <x v="6"/>
    <x v="10"/>
    <x v="137"/>
    <n v="27349"/>
  </r>
  <r>
    <x v="6"/>
    <x v="188"/>
    <x v="137"/>
    <n v="28959"/>
  </r>
  <r>
    <x v="7"/>
    <x v="88"/>
    <x v="137"/>
    <n v="26481"/>
  </r>
  <r>
    <x v="7"/>
    <x v="26"/>
    <x v="137"/>
    <n v="33322"/>
  </r>
  <r>
    <x v="8"/>
    <x v="30"/>
    <x v="137"/>
    <n v="45707"/>
  </r>
  <r>
    <x v="8"/>
    <x v="47"/>
    <x v="137"/>
    <n v="51657"/>
  </r>
  <r>
    <x v="8"/>
    <x v="128"/>
    <x v="137"/>
    <n v="32862"/>
  </r>
  <r>
    <x v="8"/>
    <x v="102"/>
    <x v="137"/>
    <n v="35668"/>
  </r>
  <r>
    <x v="8"/>
    <x v="40"/>
    <x v="137"/>
    <n v="46660"/>
  </r>
  <r>
    <x v="8"/>
    <x v="57"/>
    <x v="137"/>
    <n v="46137"/>
  </r>
  <r>
    <x v="8"/>
    <x v="57"/>
    <x v="137"/>
    <n v="42613"/>
  </r>
  <r>
    <x v="9"/>
    <x v="49"/>
    <x v="138"/>
    <n v="21400"/>
  </r>
  <r>
    <x v="5"/>
    <x v="151"/>
    <x v="138"/>
    <n v="24353"/>
  </r>
  <r>
    <x v="7"/>
    <x v="119"/>
    <x v="138"/>
    <n v="35910"/>
  </r>
  <r>
    <x v="7"/>
    <x v="111"/>
    <x v="138"/>
    <n v="33622"/>
  </r>
  <r>
    <x v="8"/>
    <x v="30"/>
    <x v="138"/>
    <n v="47849"/>
  </r>
  <r>
    <x v="8"/>
    <x v="129"/>
    <x v="138"/>
    <n v="27637"/>
  </r>
  <r>
    <x v="8"/>
    <x v="94"/>
    <x v="138"/>
    <n v="38653"/>
  </r>
  <r>
    <x v="8"/>
    <x v="15"/>
    <x v="138"/>
    <n v="51298"/>
  </r>
  <r>
    <x v="8"/>
    <x v="153"/>
    <x v="138"/>
    <n v="44084"/>
  </r>
  <r>
    <x v="2"/>
    <x v="90"/>
    <x v="139"/>
    <n v="26129"/>
  </r>
  <r>
    <x v="13"/>
    <x v="121"/>
    <x v="139"/>
    <n v="14277"/>
  </r>
  <r>
    <x v="13"/>
    <x v="116"/>
    <x v="139"/>
    <n v="18885"/>
  </r>
  <r>
    <x v="5"/>
    <x v="165"/>
    <x v="139"/>
    <n v="44607"/>
  </r>
  <r>
    <x v="15"/>
    <x v="70"/>
    <x v="139"/>
    <n v="18103"/>
  </r>
  <r>
    <x v="7"/>
    <x v="156"/>
    <x v="139"/>
    <n v="36648"/>
  </r>
  <r>
    <x v="7"/>
    <x v="71"/>
    <x v="139"/>
    <n v="37250"/>
  </r>
  <r>
    <x v="7"/>
    <x v="46"/>
    <x v="139"/>
    <n v="35426"/>
  </r>
  <r>
    <x v="8"/>
    <x v="131"/>
    <x v="139"/>
    <n v="49133"/>
  </r>
  <r>
    <x v="8"/>
    <x v="3"/>
    <x v="139"/>
    <n v="42679"/>
  </r>
  <r>
    <x v="0"/>
    <x v="189"/>
    <x v="140"/>
    <n v="27697"/>
  </r>
  <r>
    <x v="13"/>
    <x v="68"/>
    <x v="140"/>
    <n v="18182"/>
  </r>
  <r>
    <x v="11"/>
    <x v="126"/>
    <x v="140"/>
    <n v="16464"/>
  </r>
  <r>
    <x v="14"/>
    <x v="4"/>
    <x v="140"/>
    <n v="15384"/>
  </r>
  <r>
    <x v="18"/>
    <x v="176"/>
    <x v="140"/>
    <n v="10105"/>
  </r>
  <r>
    <x v="5"/>
    <x v="64"/>
    <x v="140"/>
    <n v="23787"/>
  </r>
  <r>
    <x v="5"/>
    <x v="186"/>
    <x v="140"/>
    <n v="22184"/>
  </r>
  <r>
    <x v="6"/>
    <x v="216"/>
    <x v="140"/>
    <n v="20709"/>
  </r>
  <r>
    <x v="8"/>
    <x v="47"/>
    <x v="140"/>
    <n v="44279"/>
  </r>
  <r>
    <x v="8"/>
    <x v="15"/>
    <x v="140"/>
    <n v="40453"/>
  </r>
  <r>
    <x v="8"/>
    <x v="113"/>
    <x v="140"/>
    <n v="30905"/>
  </r>
  <r>
    <x v="2"/>
    <x v="139"/>
    <x v="141"/>
    <n v="35426"/>
  </r>
  <r>
    <x v="4"/>
    <x v="206"/>
    <x v="141"/>
    <n v="15768"/>
  </r>
  <r>
    <x v="5"/>
    <x v="215"/>
    <x v="141"/>
    <n v="9878"/>
  </r>
  <r>
    <x v="6"/>
    <x v="152"/>
    <x v="141"/>
    <n v="24724"/>
  </r>
  <r>
    <x v="6"/>
    <x v="221"/>
    <x v="141"/>
    <n v="24383"/>
  </r>
  <r>
    <x v="7"/>
    <x v="134"/>
    <x v="141"/>
    <n v="26600"/>
  </r>
  <r>
    <x v="7"/>
    <x v="211"/>
    <x v="141"/>
    <n v="27991"/>
  </r>
  <r>
    <x v="7"/>
    <x v="80"/>
    <x v="141"/>
    <n v="19953"/>
  </r>
  <r>
    <x v="8"/>
    <x v="170"/>
    <x v="141"/>
    <n v="49922"/>
  </r>
  <r>
    <x v="8"/>
    <x v="14"/>
    <x v="141"/>
    <n v="43600"/>
  </r>
  <r>
    <x v="8"/>
    <x v="89"/>
    <x v="141"/>
    <n v="57039"/>
  </r>
  <r>
    <x v="2"/>
    <x v="232"/>
    <x v="142"/>
    <n v="46639"/>
  </r>
  <r>
    <x v="3"/>
    <x v="225"/>
    <x v="142"/>
    <n v="21989"/>
  </r>
  <r>
    <x v="4"/>
    <x v="98"/>
    <x v="142"/>
    <n v="15228"/>
  </r>
  <r>
    <x v="5"/>
    <x v="169"/>
    <x v="142"/>
    <n v="25310"/>
  </r>
  <r>
    <x v="12"/>
    <x v="92"/>
    <x v="142"/>
    <n v="9622"/>
  </r>
  <r>
    <x v="6"/>
    <x v="2"/>
    <x v="142"/>
    <n v="11965"/>
  </r>
  <r>
    <x v="7"/>
    <x v="222"/>
    <x v="142"/>
    <n v="25518"/>
  </r>
  <r>
    <x v="7"/>
    <x v="217"/>
    <x v="142"/>
    <n v="36062"/>
  </r>
  <r>
    <x v="7"/>
    <x v="236"/>
    <x v="142"/>
    <n v="45772"/>
  </r>
  <r>
    <x v="8"/>
    <x v="154"/>
    <x v="142"/>
    <n v="60259"/>
  </r>
  <r>
    <x v="8"/>
    <x v="57"/>
    <x v="142"/>
    <n v="32469"/>
  </r>
  <r>
    <x v="8"/>
    <x v="195"/>
    <x v="142"/>
    <n v="36140"/>
  </r>
  <r>
    <x v="8"/>
    <x v="138"/>
    <x v="142"/>
    <n v="51064"/>
  </r>
  <r>
    <x v="8"/>
    <x v="41"/>
    <x v="142"/>
    <n v="40318"/>
  </r>
  <r>
    <x v="2"/>
    <x v="139"/>
    <x v="143"/>
    <n v="40332"/>
  </r>
  <r>
    <x v="2"/>
    <x v="82"/>
    <x v="143"/>
    <n v="51451"/>
  </r>
  <r>
    <x v="2"/>
    <x v="213"/>
    <x v="143"/>
    <n v="14751"/>
  </r>
  <r>
    <x v="13"/>
    <x v="69"/>
    <x v="143"/>
    <n v="37277"/>
  </r>
  <r>
    <x v="4"/>
    <x v="5"/>
    <x v="143"/>
    <n v="17386"/>
  </r>
  <r>
    <x v="16"/>
    <x v="99"/>
    <x v="143"/>
    <n v="15693"/>
  </r>
  <r>
    <x v="5"/>
    <x v="9"/>
    <x v="143"/>
    <n v="6368"/>
  </r>
  <r>
    <x v="12"/>
    <x v="166"/>
    <x v="143"/>
    <n v="11971"/>
  </r>
  <r>
    <x v="6"/>
    <x v="183"/>
    <x v="143"/>
    <n v="35002"/>
  </r>
  <r>
    <x v="7"/>
    <x v="156"/>
    <x v="143"/>
    <n v="31376"/>
  </r>
  <r>
    <x v="7"/>
    <x v="22"/>
    <x v="143"/>
    <n v="54794"/>
  </r>
  <r>
    <x v="7"/>
    <x v="236"/>
    <x v="143"/>
    <n v="45203"/>
  </r>
  <r>
    <x v="7"/>
    <x v="144"/>
    <x v="143"/>
    <n v="42310"/>
  </r>
  <r>
    <x v="8"/>
    <x v="143"/>
    <x v="143"/>
    <n v="43869"/>
  </r>
  <r>
    <x v="8"/>
    <x v="150"/>
    <x v="143"/>
    <n v="40856"/>
  </r>
  <r>
    <x v="8"/>
    <x v="103"/>
    <x v="143"/>
    <n v="37326"/>
  </r>
  <r>
    <x v="8"/>
    <x v="59"/>
    <x v="143"/>
    <n v="29846"/>
  </r>
  <r>
    <x v="0"/>
    <x v="16"/>
    <x v="144"/>
    <n v="19582"/>
  </r>
  <r>
    <x v="2"/>
    <x v="90"/>
    <x v="144"/>
    <n v="29644"/>
  </r>
  <r>
    <x v="2"/>
    <x v="145"/>
    <x v="144"/>
    <n v="45609"/>
  </r>
  <r>
    <x v="11"/>
    <x v="197"/>
    <x v="144"/>
    <n v="17789"/>
  </r>
  <r>
    <x v="15"/>
    <x v="205"/>
    <x v="144"/>
    <n v="14934"/>
  </r>
  <r>
    <x v="6"/>
    <x v="77"/>
    <x v="144"/>
    <n v="31013"/>
  </r>
  <r>
    <x v="1"/>
    <x v="1"/>
    <x v="145"/>
    <n v="14993"/>
  </r>
  <r>
    <x v="2"/>
    <x v="136"/>
    <x v="145"/>
    <n v="27290"/>
  </r>
  <r>
    <x v="2"/>
    <x v="230"/>
    <x v="145"/>
    <n v="36231"/>
  </r>
  <r>
    <x v="2"/>
    <x v="67"/>
    <x v="145"/>
    <n v="49697"/>
  </r>
  <r>
    <x v="13"/>
    <x v="191"/>
    <x v="145"/>
    <n v="25711"/>
  </r>
  <r>
    <x v="11"/>
    <x v="141"/>
    <x v="145"/>
    <n v="6105"/>
  </r>
  <r>
    <x v="11"/>
    <x v="31"/>
    <x v="145"/>
    <n v="18149"/>
  </r>
  <r>
    <x v="6"/>
    <x v="90"/>
    <x v="145"/>
    <n v="20021"/>
  </r>
  <r>
    <x v="6"/>
    <x v="23"/>
    <x v="145"/>
    <n v="28046"/>
  </r>
  <r>
    <x v="6"/>
    <x v="188"/>
    <x v="145"/>
    <n v="23963"/>
  </r>
  <r>
    <x v="7"/>
    <x v="178"/>
    <x v="145"/>
    <n v="33854"/>
  </r>
  <r>
    <x v="8"/>
    <x v="129"/>
    <x v="145"/>
    <n v="36245"/>
  </r>
  <r>
    <x v="8"/>
    <x v="157"/>
    <x v="145"/>
    <n v="35534"/>
  </r>
  <r>
    <x v="8"/>
    <x v="143"/>
    <x v="145"/>
    <n v="44296"/>
  </r>
  <r>
    <x v="8"/>
    <x v="29"/>
    <x v="145"/>
    <n v="42957"/>
  </r>
  <r>
    <x v="8"/>
    <x v="180"/>
    <x v="145"/>
    <n v="39219"/>
  </r>
  <r>
    <x v="8"/>
    <x v="153"/>
    <x v="145"/>
    <n v="45717"/>
  </r>
  <r>
    <x v="2"/>
    <x v="94"/>
    <x v="146"/>
    <n v="39459"/>
  </r>
  <r>
    <x v="13"/>
    <x v="44"/>
    <x v="146"/>
    <n v="15945"/>
  </r>
  <r>
    <x v="4"/>
    <x v="173"/>
    <x v="146"/>
    <n v="14871"/>
  </r>
  <r>
    <x v="11"/>
    <x v="209"/>
    <x v="146"/>
    <n v="30688"/>
  </r>
  <r>
    <x v="9"/>
    <x v="32"/>
    <x v="146"/>
    <n v="32375"/>
  </r>
  <r>
    <x v="5"/>
    <x v="127"/>
    <x v="146"/>
    <n v="26580"/>
  </r>
  <r>
    <x v="7"/>
    <x v="118"/>
    <x v="146"/>
    <n v="37443"/>
  </r>
  <r>
    <x v="7"/>
    <x v="79"/>
    <x v="146"/>
    <n v="27326"/>
  </r>
  <r>
    <x v="8"/>
    <x v="131"/>
    <x v="146"/>
    <n v="57515"/>
  </r>
  <r>
    <x v="8"/>
    <x v="137"/>
    <x v="146"/>
    <n v="32810"/>
  </r>
  <r>
    <x v="8"/>
    <x v="59"/>
    <x v="146"/>
    <n v="32173"/>
  </r>
  <r>
    <x v="2"/>
    <x v="224"/>
    <x v="147"/>
    <n v="28346"/>
  </r>
  <r>
    <x v="2"/>
    <x v="18"/>
    <x v="147"/>
    <n v="11103"/>
  </r>
  <r>
    <x v="13"/>
    <x v="97"/>
    <x v="147"/>
    <n v="29529"/>
  </r>
  <r>
    <x v="10"/>
    <x v="21"/>
    <x v="147"/>
    <n v="14248"/>
  </r>
  <r>
    <x v="6"/>
    <x v="11"/>
    <x v="147"/>
    <n v="27440"/>
  </r>
  <r>
    <x v="7"/>
    <x v="201"/>
    <x v="147"/>
    <n v="23246"/>
  </r>
  <r>
    <x v="7"/>
    <x v="38"/>
    <x v="147"/>
    <n v="39369"/>
  </r>
  <r>
    <x v="8"/>
    <x v="131"/>
    <x v="147"/>
    <n v="37748"/>
  </r>
  <r>
    <x v="8"/>
    <x v="58"/>
    <x v="147"/>
    <n v="44046"/>
  </r>
  <r>
    <x v="8"/>
    <x v="89"/>
    <x v="147"/>
    <n v="46359"/>
  </r>
  <r>
    <x v="2"/>
    <x v="182"/>
    <x v="148"/>
    <n v="34704"/>
  </r>
  <r>
    <x v="11"/>
    <x v="234"/>
    <x v="148"/>
    <n v="16971"/>
  </r>
  <r>
    <x v="5"/>
    <x v="148"/>
    <x v="148"/>
    <n v="26842"/>
  </r>
  <r>
    <x v="7"/>
    <x v="135"/>
    <x v="148"/>
    <n v="47436"/>
  </r>
  <r>
    <x v="8"/>
    <x v="157"/>
    <x v="148"/>
    <n v="37478"/>
  </r>
  <r>
    <x v="8"/>
    <x v="14"/>
    <x v="148"/>
    <n v="38832"/>
  </r>
  <r>
    <x v="8"/>
    <x v="195"/>
    <x v="148"/>
    <n v="44961"/>
  </r>
  <r>
    <x v="8"/>
    <x v="195"/>
    <x v="148"/>
    <n v="45053"/>
  </r>
  <r>
    <x v="8"/>
    <x v="153"/>
    <x v="148"/>
    <n v="37536"/>
  </r>
  <r>
    <x v="0"/>
    <x v="104"/>
    <x v="149"/>
    <n v="16958"/>
  </r>
  <r>
    <x v="0"/>
    <x v="212"/>
    <x v="149"/>
    <n v="34662"/>
  </r>
  <r>
    <x v="4"/>
    <x v="192"/>
    <x v="149"/>
    <n v="14748"/>
  </r>
  <r>
    <x v="9"/>
    <x v="63"/>
    <x v="149"/>
    <n v="27572"/>
  </r>
  <r>
    <x v="5"/>
    <x v="219"/>
    <x v="149"/>
    <n v="5200"/>
  </r>
  <r>
    <x v="12"/>
    <x v="35"/>
    <x v="149"/>
    <n v="16352"/>
  </r>
  <r>
    <x v="6"/>
    <x v="110"/>
    <x v="149"/>
    <n v="21951"/>
  </r>
  <r>
    <x v="19"/>
    <x v="200"/>
    <x v="149"/>
    <n v="13811"/>
  </r>
  <r>
    <x v="7"/>
    <x v="38"/>
    <x v="149"/>
    <n v="47932"/>
  </r>
  <r>
    <x v="7"/>
    <x v="233"/>
    <x v="149"/>
    <n v="43117"/>
  </r>
  <r>
    <x v="8"/>
    <x v="40"/>
    <x v="149"/>
    <n v="40091"/>
  </r>
  <r>
    <x v="8"/>
    <x v="26"/>
    <x v="149"/>
    <n v="39784"/>
  </r>
  <r>
    <x v="8"/>
    <x v="113"/>
    <x v="149"/>
    <n v="39114"/>
  </r>
  <r>
    <x v="8"/>
    <x v="135"/>
    <x v="149"/>
    <n v="51864"/>
  </r>
  <r>
    <x v="8"/>
    <x v="3"/>
    <x v="149"/>
    <n v="41642"/>
  </r>
  <r>
    <x v="8"/>
    <x v="153"/>
    <x v="149"/>
    <n v="51279"/>
  </r>
  <r>
    <x v="3"/>
    <x v="42"/>
    <x v="150"/>
    <n v="11023"/>
  </r>
  <r>
    <x v="3"/>
    <x v="33"/>
    <x v="150"/>
    <n v="12764"/>
  </r>
  <r>
    <x v="13"/>
    <x v="202"/>
    <x v="150"/>
    <n v="19190"/>
  </r>
  <r>
    <x v="13"/>
    <x v="114"/>
    <x v="150"/>
    <n v="6128"/>
  </r>
  <r>
    <x v="14"/>
    <x v="207"/>
    <x v="150"/>
    <n v="14799"/>
  </r>
  <r>
    <x v="12"/>
    <x v="45"/>
    <x v="150"/>
    <n v="8606"/>
  </r>
  <r>
    <x v="6"/>
    <x v="119"/>
    <x v="150"/>
    <n v="32745"/>
  </r>
  <r>
    <x v="7"/>
    <x v="78"/>
    <x v="150"/>
    <n v="28686"/>
  </r>
  <r>
    <x v="8"/>
    <x v="154"/>
    <x v="150"/>
    <n v="38400"/>
  </r>
  <r>
    <x v="8"/>
    <x v="74"/>
    <x v="150"/>
    <n v="38105"/>
  </r>
  <r>
    <x v="8"/>
    <x v="39"/>
    <x v="150"/>
    <n v="26676"/>
  </r>
  <r>
    <x v="8"/>
    <x v="28"/>
    <x v="150"/>
    <n v="47534"/>
  </r>
  <r>
    <x v="8"/>
    <x v="150"/>
    <x v="150"/>
    <n v="31474"/>
  </r>
  <r>
    <x v="8"/>
    <x v="29"/>
    <x v="150"/>
    <n v="43708"/>
  </r>
  <r>
    <x v="8"/>
    <x v="84"/>
    <x v="150"/>
    <n v="44169"/>
  </r>
  <r>
    <x v="2"/>
    <x v="140"/>
    <x v="151"/>
    <n v="36379"/>
  </r>
  <r>
    <x v="2"/>
    <x v="182"/>
    <x v="151"/>
    <n v="40209"/>
  </r>
  <r>
    <x v="10"/>
    <x v="226"/>
    <x v="151"/>
    <n v="13749"/>
  </r>
  <r>
    <x v="5"/>
    <x v="127"/>
    <x v="151"/>
    <n v="25383"/>
  </r>
  <r>
    <x v="5"/>
    <x v="165"/>
    <x v="151"/>
    <n v="41515"/>
  </r>
  <r>
    <x v="6"/>
    <x v="187"/>
    <x v="151"/>
    <n v="19386"/>
  </r>
  <r>
    <x v="6"/>
    <x v="188"/>
    <x v="151"/>
    <n v="26160"/>
  </r>
  <r>
    <x v="8"/>
    <x v="129"/>
    <x v="151"/>
    <n v="41177"/>
  </r>
  <r>
    <x v="8"/>
    <x v="143"/>
    <x v="151"/>
    <n v="50476"/>
  </r>
  <r>
    <x v="8"/>
    <x v="144"/>
    <x v="151"/>
    <n v="52662"/>
  </r>
  <r>
    <x v="8"/>
    <x v="3"/>
    <x v="151"/>
    <n v="43104"/>
  </r>
  <r>
    <x v="8"/>
    <x v="153"/>
    <x v="151"/>
    <n v="53250"/>
  </r>
  <r>
    <x v="3"/>
    <x v="42"/>
    <x v="152"/>
    <n v="12785"/>
  </r>
  <r>
    <x v="9"/>
    <x v="34"/>
    <x v="152"/>
    <n v="18880"/>
  </r>
  <r>
    <x v="7"/>
    <x v="87"/>
    <x v="152"/>
    <n v="31000"/>
  </r>
  <r>
    <x v="7"/>
    <x v="236"/>
    <x v="152"/>
    <n v="15987"/>
  </r>
  <r>
    <x v="8"/>
    <x v="47"/>
    <x v="152"/>
    <n v="28919"/>
  </r>
  <r>
    <x v="8"/>
    <x v="66"/>
    <x v="152"/>
    <n v="49569"/>
  </r>
  <r>
    <x v="8"/>
    <x v="170"/>
    <x v="152"/>
    <n v="46466"/>
  </r>
  <r>
    <x v="8"/>
    <x v="40"/>
    <x v="152"/>
    <n v="34439"/>
  </r>
  <r>
    <x v="8"/>
    <x v="194"/>
    <x v="152"/>
    <n v="43311"/>
  </r>
  <r>
    <x v="8"/>
    <x v="3"/>
    <x v="152"/>
    <n v="29610"/>
  </r>
  <r>
    <x v="8"/>
    <x v="41"/>
    <x v="152"/>
    <n v="41863"/>
  </r>
  <r>
    <x v="17"/>
    <x v="158"/>
    <x v="153"/>
    <n v="27974"/>
  </r>
  <r>
    <x v="0"/>
    <x v="223"/>
    <x v="153"/>
    <n v="15747"/>
  </r>
  <r>
    <x v="13"/>
    <x v="202"/>
    <x v="153"/>
    <n v="19352"/>
  </r>
  <r>
    <x v="11"/>
    <x v="174"/>
    <x v="153"/>
    <n v="29484"/>
  </r>
  <r>
    <x v="9"/>
    <x v="141"/>
    <x v="153"/>
    <n v="18918"/>
  </r>
  <r>
    <x v="9"/>
    <x v="115"/>
    <x v="153"/>
    <n v="21622"/>
  </r>
  <r>
    <x v="5"/>
    <x v="108"/>
    <x v="153"/>
    <n v="25856"/>
  </r>
  <r>
    <x v="15"/>
    <x v="70"/>
    <x v="153"/>
    <n v="17423"/>
  </r>
  <r>
    <x v="12"/>
    <x v="167"/>
    <x v="153"/>
    <n v="14623"/>
  </r>
  <r>
    <x v="6"/>
    <x v="24"/>
    <x v="153"/>
    <n v="22162"/>
  </r>
  <r>
    <x v="7"/>
    <x v="53"/>
    <x v="153"/>
    <n v="43028"/>
  </r>
  <r>
    <x v="8"/>
    <x v="30"/>
    <x v="153"/>
    <n v="41041"/>
  </r>
  <r>
    <x v="8"/>
    <x v="28"/>
    <x v="153"/>
    <n v="34520"/>
  </r>
  <r>
    <x v="8"/>
    <x v="3"/>
    <x v="153"/>
    <n v="42103"/>
  </r>
  <r>
    <x v="8"/>
    <x v="89"/>
    <x v="153"/>
    <n v="46635"/>
  </r>
  <r>
    <x v="9"/>
    <x v="209"/>
    <x v="154"/>
    <n v="17958"/>
  </r>
  <r>
    <x v="9"/>
    <x v="147"/>
    <x v="154"/>
    <n v="21004"/>
  </r>
  <r>
    <x v="5"/>
    <x v="64"/>
    <x v="154"/>
    <n v="24168"/>
  </r>
  <r>
    <x v="5"/>
    <x v="133"/>
    <x v="154"/>
    <n v="16799"/>
  </r>
  <r>
    <x v="7"/>
    <x v="137"/>
    <x v="154"/>
    <n v="33159"/>
  </r>
  <r>
    <x v="8"/>
    <x v="14"/>
    <x v="154"/>
    <n v="35865"/>
  </r>
  <r>
    <x v="8"/>
    <x v="150"/>
    <x v="154"/>
    <n v="37616"/>
  </r>
  <r>
    <x v="8"/>
    <x v="150"/>
    <x v="154"/>
    <n v="27846"/>
  </r>
  <r>
    <x v="8"/>
    <x v="120"/>
    <x v="154"/>
    <n v="37143"/>
  </r>
  <r>
    <x v="8"/>
    <x v="84"/>
    <x v="154"/>
    <n v="34978"/>
  </r>
  <r>
    <x v="0"/>
    <x v="189"/>
    <x v="155"/>
    <n v="5200"/>
  </r>
  <r>
    <x v="2"/>
    <x v="222"/>
    <x v="155"/>
    <n v="29868"/>
  </r>
  <r>
    <x v="2"/>
    <x v="113"/>
    <x v="155"/>
    <n v="34834"/>
  </r>
  <r>
    <x v="2"/>
    <x v="46"/>
    <x v="155"/>
    <n v="39646"/>
  </r>
  <r>
    <x v="14"/>
    <x v="100"/>
    <x v="155"/>
    <n v="13784"/>
  </r>
  <r>
    <x v="5"/>
    <x v="228"/>
    <x v="155"/>
    <n v="31339"/>
  </r>
  <r>
    <x v="5"/>
    <x v="148"/>
    <x v="155"/>
    <n v="9518"/>
  </r>
  <r>
    <x v="7"/>
    <x v="93"/>
    <x v="155"/>
    <n v="25099"/>
  </r>
  <r>
    <x v="8"/>
    <x v="47"/>
    <x v="155"/>
    <n v="37801"/>
  </r>
  <r>
    <x v="8"/>
    <x v="170"/>
    <x v="155"/>
    <n v="54173"/>
  </r>
  <r>
    <x v="8"/>
    <x v="27"/>
    <x v="155"/>
    <n v="42678"/>
  </r>
  <r>
    <x v="8"/>
    <x v="67"/>
    <x v="155"/>
    <n v="50571"/>
  </r>
  <r>
    <x v="17"/>
    <x v="125"/>
    <x v="156"/>
    <n v="10900"/>
  </r>
  <r>
    <x v="2"/>
    <x v="138"/>
    <x v="156"/>
    <n v="46834"/>
  </r>
  <r>
    <x v="2"/>
    <x v="213"/>
    <x v="156"/>
    <n v="11871"/>
  </r>
  <r>
    <x v="13"/>
    <x v="69"/>
    <x v="156"/>
    <n v="35824"/>
  </r>
  <r>
    <x v="18"/>
    <x v="163"/>
    <x v="156"/>
    <n v="5489"/>
  </r>
  <r>
    <x v="6"/>
    <x v="2"/>
    <x v="156"/>
    <n v="28547"/>
  </r>
  <r>
    <x v="6"/>
    <x v="11"/>
    <x v="156"/>
    <n v="27293"/>
  </r>
  <r>
    <x v="6"/>
    <x v="77"/>
    <x v="156"/>
    <n v="37407"/>
  </r>
  <r>
    <x v="7"/>
    <x v="124"/>
    <x v="156"/>
    <n v="48976"/>
  </r>
  <r>
    <x v="7"/>
    <x v="26"/>
    <x v="156"/>
    <n v="37861"/>
  </r>
  <r>
    <x v="8"/>
    <x v="47"/>
    <x v="156"/>
    <n v="39291"/>
  </r>
  <r>
    <x v="8"/>
    <x v="131"/>
    <x v="156"/>
    <n v="36839"/>
  </r>
  <r>
    <x v="8"/>
    <x v="102"/>
    <x v="156"/>
    <n v="45692"/>
  </r>
  <r>
    <x v="8"/>
    <x v="15"/>
    <x v="156"/>
    <n v="33168"/>
  </r>
  <r>
    <x v="8"/>
    <x v="59"/>
    <x v="156"/>
    <n v="33117"/>
  </r>
  <r>
    <x v="2"/>
    <x v="224"/>
    <x v="157"/>
    <n v="35910"/>
  </r>
  <r>
    <x v="2"/>
    <x v="161"/>
    <x v="157"/>
    <n v="31776"/>
  </r>
  <r>
    <x v="13"/>
    <x v="97"/>
    <x v="157"/>
    <n v="12374"/>
  </r>
  <r>
    <x v="15"/>
    <x v="205"/>
    <x v="157"/>
    <n v="16581"/>
  </r>
  <r>
    <x v="12"/>
    <x v="35"/>
    <x v="157"/>
    <n v="15826"/>
  </r>
  <r>
    <x v="7"/>
    <x v="72"/>
    <x v="157"/>
    <n v="46826"/>
  </r>
  <r>
    <x v="7"/>
    <x v="211"/>
    <x v="157"/>
    <n v="59323"/>
  </r>
  <r>
    <x v="7"/>
    <x v="73"/>
    <x v="157"/>
    <n v="55651"/>
  </r>
  <r>
    <x v="8"/>
    <x v="40"/>
    <x v="157"/>
    <n v="51151"/>
  </r>
  <r>
    <x v="8"/>
    <x v="138"/>
    <x v="157"/>
    <n v="32957"/>
  </r>
  <r>
    <x v="2"/>
    <x v="57"/>
    <x v="158"/>
    <n v="32331"/>
  </r>
  <r>
    <x v="2"/>
    <x v="153"/>
    <x v="158"/>
    <n v="50859"/>
  </r>
  <r>
    <x v="9"/>
    <x v="63"/>
    <x v="158"/>
    <n v="19421"/>
  </r>
  <r>
    <x v="5"/>
    <x v="6"/>
    <x v="158"/>
    <n v="21750"/>
  </r>
  <r>
    <x v="7"/>
    <x v="37"/>
    <x v="158"/>
    <n v="23725"/>
  </r>
  <r>
    <x v="7"/>
    <x v="54"/>
    <x v="158"/>
    <n v="39142"/>
  </r>
  <r>
    <x v="7"/>
    <x v="180"/>
    <x v="158"/>
    <n v="44758"/>
  </r>
  <r>
    <x v="8"/>
    <x v="55"/>
    <x v="158"/>
    <n v="42536"/>
  </r>
  <r>
    <x v="8"/>
    <x v="29"/>
    <x v="158"/>
    <n v="39806"/>
  </r>
  <r>
    <x v="2"/>
    <x v="181"/>
    <x v="159"/>
    <n v="45281"/>
  </r>
  <r>
    <x v="2"/>
    <x v="195"/>
    <x v="159"/>
    <n v="45184"/>
  </r>
  <r>
    <x v="13"/>
    <x v="68"/>
    <x v="159"/>
    <n v="17761"/>
  </r>
  <r>
    <x v="11"/>
    <x v="197"/>
    <x v="159"/>
    <n v="18735"/>
  </r>
  <r>
    <x v="18"/>
    <x v="176"/>
    <x v="159"/>
    <n v="25563"/>
  </r>
  <r>
    <x v="5"/>
    <x v="215"/>
    <x v="159"/>
    <n v="21284"/>
  </r>
  <r>
    <x v="12"/>
    <x v="177"/>
    <x v="159"/>
    <n v="15194"/>
  </r>
  <r>
    <x v="7"/>
    <x v="178"/>
    <x v="159"/>
    <n v="28275"/>
  </r>
  <r>
    <x v="8"/>
    <x v="55"/>
    <x v="159"/>
    <n v="28525"/>
  </r>
  <r>
    <x v="8"/>
    <x v="74"/>
    <x v="159"/>
    <n v="27003"/>
  </r>
  <r>
    <x v="8"/>
    <x v="194"/>
    <x v="159"/>
    <n v="37218"/>
  </r>
  <r>
    <x v="8"/>
    <x v="137"/>
    <x v="159"/>
    <n v="23540"/>
  </r>
  <r>
    <x v="0"/>
    <x v="212"/>
    <x v="160"/>
    <n v="5200"/>
  </r>
  <r>
    <x v="2"/>
    <x v="90"/>
    <x v="160"/>
    <n v="26103"/>
  </r>
  <r>
    <x v="9"/>
    <x v="198"/>
    <x v="160"/>
    <n v="24338"/>
  </r>
  <r>
    <x v="6"/>
    <x v="88"/>
    <x v="160"/>
    <n v="25108"/>
  </r>
  <r>
    <x v="6"/>
    <x v="65"/>
    <x v="160"/>
    <n v="33972"/>
  </r>
  <r>
    <x v="7"/>
    <x v="222"/>
    <x v="160"/>
    <n v="39341"/>
  </r>
  <r>
    <x v="7"/>
    <x v="120"/>
    <x v="160"/>
    <n v="47999"/>
  </r>
  <r>
    <x v="2"/>
    <x v="171"/>
    <x v="161"/>
    <n v="37816"/>
  </r>
  <r>
    <x v="2"/>
    <x v="19"/>
    <x v="161"/>
    <n v="35199"/>
  </r>
  <r>
    <x v="3"/>
    <x v="33"/>
    <x v="161"/>
    <n v="17896"/>
  </r>
  <r>
    <x v="13"/>
    <x v="114"/>
    <x v="161"/>
    <n v="31895"/>
  </r>
  <r>
    <x v="4"/>
    <x v="98"/>
    <x v="161"/>
    <n v="15230"/>
  </r>
  <r>
    <x v="4"/>
    <x v="206"/>
    <x v="161"/>
    <n v="15722"/>
  </r>
  <r>
    <x v="11"/>
    <x v="92"/>
    <x v="161"/>
    <n v="27973"/>
  </r>
  <r>
    <x v="11"/>
    <x v="31"/>
    <x v="161"/>
    <n v="17909"/>
  </r>
  <r>
    <x v="10"/>
    <x v="185"/>
    <x v="161"/>
    <n v="10119"/>
  </r>
  <r>
    <x v="5"/>
    <x v="50"/>
    <x v="161"/>
    <n v="23435"/>
  </r>
  <r>
    <x v="7"/>
    <x v="30"/>
    <x v="161"/>
    <n v="43426"/>
  </r>
  <r>
    <x v="7"/>
    <x v="118"/>
    <x v="161"/>
    <n v="43328"/>
  </r>
  <r>
    <x v="7"/>
    <x v="46"/>
    <x v="161"/>
    <n v="32567"/>
  </r>
  <r>
    <x v="8"/>
    <x v="138"/>
    <x v="161"/>
    <n v="31857"/>
  </r>
  <r>
    <x v="8"/>
    <x v="83"/>
    <x v="161"/>
    <n v="49386"/>
  </r>
  <r>
    <x v="8"/>
    <x v="84"/>
    <x v="161"/>
    <n v="38057"/>
  </r>
  <r>
    <x v="2"/>
    <x v="75"/>
    <x v="162"/>
    <n v="7329"/>
  </r>
  <r>
    <x v="2"/>
    <x v="56"/>
    <x v="162"/>
    <n v="34272"/>
  </r>
  <r>
    <x v="2"/>
    <x v="60"/>
    <x v="162"/>
    <n v="41081"/>
  </r>
  <r>
    <x v="3"/>
    <x v="43"/>
    <x v="162"/>
    <n v="6218"/>
  </r>
  <r>
    <x v="5"/>
    <x v="18"/>
    <x v="162"/>
    <n v="16064"/>
  </r>
  <r>
    <x v="6"/>
    <x v="110"/>
    <x v="162"/>
    <n v="7960"/>
  </r>
  <r>
    <x v="6"/>
    <x v="10"/>
    <x v="162"/>
    <n v="26580"/>
  </r>
  <r>
    <x v="7"/>
    <x v="87"/>
    <x v="162"/>
    <n v="36108"/>
  </r>
  <r>
    <x v="8"/>
    <x v="30"/>
    <x v="162"/>
    <n v="34352"/>
  </r>
  <r>
    <x v="8"/>
    <x v="102"/>
    <x v="162"/>
    <n v="44548"/>
  </r>
  <r>
    <x v="8"/>
    <x v="39"/>
    <x v="162"/>
    <n v="45187"/>
  </r>
  <r>
    <x v="8"/>
    <x v="15"/>
    <x v="162"/>
    <n v="52929"/>
  </r>
  <r>
    <x v="8"/>
    <x v="41"/>
    <x v="162"/>
    <n v="45495"/>
  </r>
  <r>
    <x v="0"/>
    <x v="85"/>
    <x v="163"/>
    <n v="14045"/>
  </r>
  <r>
    <x v="7"/>
    <x v="154"/>
    <x v="163"/>
    <n v="45238"/>
  </r>
  <r>
    <x v="7"/>
    <x v="71"/>
    <x v="163"/>
    <n v="41124"/>
  </r>
  <r>
    <x v="7"/>
    <x v="180"/>
    <x v="163"/>
    <n v="35361"/>
  </r>
  <r>
    <x v="7"/>
    <x v="80"/>
    <x v="163"/>
    <n v="22624"/>
  </r>
  <r>
    <x v="8"/>
    <x v="131"/>
    <x v="163"/>
    <n v="44202"/>
  </r>
  <r>
    <x v="8"/>
    <x v="157"/>
    <x v="163"/>
    <n v="36793"/>
  </r>
  <r>
    <x v="8"/>
    <x v="144"/>
    <x v="163"/>
    <n v="38795"/>
  </r>
  <r>
    <x v="8"/>
    <x v="195"/>
    <x v="163"/>
    <n v="38933"/>
  </r>
  <r>
    <x v="8"/>
    <x v="138"/>
    <x v="163"/>
    <n v="44446"/>
  </r>
  <r>
    <x v="8"/>
    <x v="120"/>
    <x v="163"/>
    <n v="36490"/>
  </r>
  <r>
    <x v="8"/>
    <x v="84"/>
    <x v="163"/>
    <n v="42095"/>
  </r>
  <r>
    <x v="2"/>
    <x v="156"/>
    <x v="164"/>
    <n v="33414"/>
  </r>
  <r>
    <x v="13"/>
    <x v="106"/>
    <x v="164"/>
    <n v="21478"/>
  </r>
  <r>
    <x v="9"/>
    <x v="172"/>
    <x v="164"/>
    <n v="18583"/>
  </r>
  <r>
    <x v="10"/>
    <x v="21"/>
    <x v="164"/>
    <n v="13816"/>
  </r>
  <r>
    <x v="6"/>
    <x v="201"/>
    <x v="164"/>
    <n v="23548"/>
  </r>
  <r>
    <x v="7"/>
    <x v="217"/>
    <x v="164"/>
    <n v="32041"/>
  </r>
  <r>
    <x v="7"/>
    <x v="229"/>
    <x v="164"/>
    <n v="34450"/>
  </r>
  <r>
    <x v="7"/>
    <x v="111"/>
    <x v="164"/>
    <n v="40548"/>
  </r>
  <r>
    <x v="8"/>
    <x v="28"/>
    <x v="164"/>
    <n v="43621"/>
  </r>
  <r>
    <x v="8"/>
    <x v="143"/>
    <x v="164"/>
    <n v="43100"/>
  </r>
  <r>
    <x v="8"/>
    <x v="29"/>
    <x v="164"/>
    <n v="47694"/>
  </r>
  <r>
    <x v="8"/>
    <x v="112"/>
    <x v="164"/>
    <n v="34253"/>
  </r>
  <r>
    <x v="8"/>
    <x v="113"/>
    <x v="164"/>
    <n v="44411"/>
  </r>
  <r>
    <x v="8"/>
    <x v="103"/>
    <x v="164"/>
    <n v="42812"/>
  </r>
  <r>
    <x v="8"/>
    <x v="135"/>
    <x v="164"/>
    <n v="45604"/>
  </r>
  <r>
    <x v="8"/>
    <x v="153"/>
    <x v="164"/>
    <n v="44402"/>
  </r>
  <r>
    <x v="0"/>
    <x v="0"/>
    <x v="165"/>
    <n v="14911"/>
  </r>
  <r>
    <x v="2"/>
    <x v="160"/>
    <x v="165"/>
    <n v="36418"/>
  </r>
  <r>
    <x v="3"/>
    <x v="192"/>
    <x v="165"/>
    <n v="14773"/>
  </r>
  <r>
    <x v="13"/>
    <x v="44"/>
    <x v="165"/>
    <n v="17073"/>
  </r>
  <r>
    <x v="4"/>
    <x v="96"/>
    <x v="165"/>
    <n v="14459"/>
  </r>
  <r>
    <x v="16"/>
    <x v="99"/>
    <x v="165"/>
    <n v="15852"/>
  </r>
  <r>
    <x v="11"/>
    <x v="203"/>
    <x v="165"/>
    <n v="18663"/>
  </r>
  <r>
    <x v="14"/>
    <x v="101"/>
    <x v="165"/>
    <n v="16391"/>
  </r>
  <r>
    <x v="9"/>
    <x v="219"/>
    <x v="165"/>
    <n v="7549"/>
  </r>
  <r>
    <x v="5"/>
    <x v="199"/>
    <x v="165"/>
    <n v="25946"/>
  </r>
  <r>
    <x v="7"/>
    <x v="25"/>
    <x v="165"/>
    <n v="35076"/>
  </r>
  <r>
    <x v="7"/>
    <x v="22"/>
    <x v="165"/>
    <n v="54566"/>
  </r>
  <r>
    <x v="8"/>
    <x v="30"/>
    <x v="165"/>
    <n v="38966"/>
  </r>
  <r>
    <x v="8"/>
    <x v="94"/>
    <x v="165"/>
    <n v="42931"/>
  </r>
  <r>
    <x v="8"/>
    <x v="29"/>
    <x v="165"/>
    <n v="30664"/>
  </r>
  <r>
    <x v="8"/>
    <x v="29"/>
    <x v="165"/>
    <n v="43082"/>
  </r>
  <r>
    <x v="2"/>
    <x v="154"/>
    <x v="166"/>
    <n v="50260"/>
  </r>
  <r>
    <x v="2"/>
    <x v="59"/>
    <x v="166"/>
    <n v="34496"/>
  </r>
  <r>
    <x v="12"/>
    <x v="45"/>
    <x v="166"/>
    <n v="9519"/>
  </r>
  <r>
    <x v="6"/>
    <x v="221"/>
    <x v="166"/>
    <n v="32985"/>
  </r>
  <r>
    <x v="7"/>
    <x v="156"/>
    <x v="166"/>
    <n v="34002"/>
  </r>
  <r>
    <x v="7"/>
    <x v="210"/>
    <x v="166"/>
    <n v="22916"/>
  </r>
  <r>
    <x v="7"/>
    <x v="196"/>
    <x v="166"/>
    <n v="39001"/>
  </r>
  <r>
    <x v="8"/>
    <x v="55"/>
    <x v="166"/>
    <n v="31823"/>
  </r>
  <r>
    <x v="8"/>
    <x v="143"/>
    <x v="166"/>
    <n v="39258"/>
  </r>
  <r>
    <x v="8"/>
    <x v="135"/>
    <x v="166"/>
    <n v="55221"/>
  </r>
  <r>
    <x v="2"/>
    <x v="183"/>
    <x v="167"/>
    <n v="34296"/>
  </r>
  <r>
    <x v="2"/>
    <x v="193"/>
    <x v="167"/>
    <n v="41672"/>
  </r>
  <r>
    <x v="14"/>
    <x v="207"/>
    <x v="167"/>
    <n v="14599"/>
  </r>
  <r>
    <x v="5"/>
    <x v="169"/>
    <x v="167"/>
    <n v="24818"/>
  </r>
  <r>
    <x v="7"/>
    <x v="217"/>
    <x v="167"/>
    <n v="32102"/>
  </r>
  <r>
    <x v="7"/>
    <x v="25"/>
    <x v="167"/>
    <n v="44534"/>
  </r>
  <r>
    <x v="7"/>
    <x v="71"/>
    <x v="167"/>
    <n v="29602"/>
  </r>
  <r>
    <x v="7"/>
    <x v="78"/>
    <x v="167"/>
    <n v="26539"/>
  </r>
  <r>
    <x v="8"/>
    <x v="74"/>
    <x v="167"/>
    <n v="37743"/>
  </r>
  <r>
    <x v="8"/>
    <x v="195"/>
    <x v="167"/>
    <n v="47167"/>
  </r>
  <r>
    <x v="9"/>
    <x v="49"/>
    <x v="168"/>
    <n v="22489"/>
  </r>
  <r>
    <x v="5"/>
    <x v="36"/>
    <x v="168"/>
    <n v="29013"/>
  </r>
  <r>
    <x v="7"/>
    <x v="72"/>
    <x v="168"/>
    <n v="37768"/>
  </r>
  <r>
    <x v="7"/>
    <x v="13"/>
    <x v="168"/>
    <n v="51429"/>
  </r>
  <r>
    <x v="7"/>
    <x v="142"/>
    <x v="168"/>
    <n v="36993"/>
  </r>
  <r>
    <x v="8"/>
    <x v="157"/>
    <x v="168"/>
    <n v="36711"/>
  </r>
  <r>
    <x v="8"/>
    <x v="28"/>
    <x v="168"/>
    <n v="31051"/>
  </r>
  <r>
    <x v="8"/>
    <x v="143"/>
    <x v="168"/>
    <n v="49561"/>
  </r>
  <r>
    <x v="8"/>
    <x v="41"/>
    <x v="168"/>
    <n v="42464"/>
  </r>
  <r>
    <x v="0"/>
    <x v="121"/>
    <x v="169"/>
    <n v="14841"/>
  </r>
  <r>
    <x v="6"/>
    <x v="52"/>
    <x v="169"/>
    <n v="38967"/>
  </r>
  <r>
    <x v="7"/>
    <x v="12"/>
    <x v="169"/>
    <n v="43713"/>
  </r>
  <r>
    <x v="7"/>
    <x v="79"/>
    <x v="169"/>
    <n v="28502"/>
  </r>
  <r>
    <x v="8"/>
    <x v="57"/>
    <x v="169"/>
    <n v="40886"/>
  </r>
  <r>
    <x v="8"/>
    <x v="144"/>
    <x v="169"/>
    <n v="32161"/>
  </r>
  <r>
    <x v="8"/>
    <x v="195"/>
    <x v="169"/>
    <n v="31698"/>
  </r>
  <r>
    <x v="8"/>
    <x v="113"/>
    <x v="169"/>
    <n v="32508"/>
  </r>
  <r>
    <x v="8"/>
    <x v="153"/>
    <x v="169"/>
    <n v="39186"/>
  </r>
  <r>
    <x v="13"/>
    <x v="116"/>
    <x v="170"/>
    <n v="18771"/>
  </r>
  <r>
    <x v="11"/>
    <x v="126"/>
    <x v="170"/>
    <n v="18150"/>
  </r>
  <r>
    <x v="12"/>
    <x v="227"/>
    <x v="170"/>
    <n v="31257"/>
  </r>
  <r>
    <x v="6"/>
    <x v="117"/>
    <x v="170"/>
    <n v="24111"/>
  </r>
  <r>
    <x v="6"/>
    <x v="220"/>
    <x v="170"/>
    <n v="25686"/>
  </r>
  <r>
    <x v="7"/>
    <x v="178"/>
    <x v="170"/>
    <n v="32261"/>
  </r>
  <r>
    <x v="7"/>
    <x v="79"/>
    <x v="170"/>
    <n v="29209"/>
  </r>
  <r>
    <x v="8"/>
    <x v="15"/>
    <x v="170"/>
    <n v="43426"/>
  </r>
  <r>
    <x v="8"/>
    <x v="29"/>
    <x v="170"/>
    <n v="31070"/>
  </r>
  <r>
    <x v="2"/>
    <x v="132"/>
    <x v="171"/>
    <n v="25689"/>
  </r>
  <r>
    <x v="11"/>
    <x v="146"/>
    <x v="171"/>
    <n v="15418"/>
  </r>
  <r>
    <x v="9"/>
    <x v="91"/>
    <x v="171"/>
    <n v="18822"/>
  </r>
  <r>
    <x v="5"/>
    <x v="7"/>
    <x v="171"/>
    <n v="42339"/>
  </r>
  <r>
    <x v="6"/>
    <x v="9"/>
    <x v="171"/>
    <n v="27389"/>
  </r>
  <r>
    <x v="6"/>
    <x v="235"/>
    <x v="171"/>
    <n v="28951"/>
  </r>
  <r>
    <x v="7"/>
    <x v="25"/>
    <x v="171"/>
    <n v="40790"/>
  </r>
  <r>
    <x v="7"/>
    <x v="230"/>
    <x v="171"/>
    <n v="19886"/>
  </r>
  <r>
    <x v="7"/>
    <x v="230"/>
    <x v="171"/>
    <n v="31738"/>
  </r>
  <r>
    <x v="8"/>
    <x v="55"/>
    <x v="171"/>
    <n v="33025"/>
  </r>
  <r>
    <x v="8"/>
    <x v="81"/>
    <x v="171"/>
    <n v="27762"/>
  </r>
  <r>
    <x v="8"/>
    <x v="39"/>
    <x v="171"/>
    <n v="36757"/>
  </r>
  <r>
    <x v="8"/>
    <x v="130"/>
    <x v="171"/>
    <n v="46183"/>
  </r>
  <r>
    <x v="8"/>
    <x v="130"/>
    <x v="171"/>
    <n v="43771"/>
  </r>
  <r>
    <x v="8"/>
    <x v="41"/>
    <x v="171"/>
    <n v="40297"/>
  </r>
  <r>
    <x v="2"/>
    <x v="190"/>
    <x v="172"/>
    <n v="33048"/>
  </r>
  <r>
    <x v="2"/>
    <x v="145"/>
    <x v="172"/>
    <n v="37945"/>
  </r>
  <r>
    <x v="3"/>
    <x v="225"/>
    <x v="172"/>
    <n v="5289"/>
  </r>
  <r>
    <x v="4"/>
    <x v="62"/>
    <x v="172"/>
    <n v="25808"/>
  </r>
  <r>
    <x v="14"/>
    <x v="4"/>
    <x v="172"/>
    <n v="16351"/>
  </r>
  <r>
    <x v="5"/>
    <x v="8"/>
    <x v="172"/>
    <n v="45508"/>
  </r>
  <r>
    <x v="7"/>
    <x v="38"/>
    <x v="172"/>
    <n v="55229"/>
  </r>
  <r>
    <x v="7"/>
    <x v="142"/>
    <x v="172"/>
    <n v="38244"/>
  </r>
  <r>
    <x v="7"/>
    <x v="80"/>
    <x v="172"/>
    <n v="28284"/>
  </r>
  <r>
    <x v="8"/>
    <x v="55"/>
    <x v="172"/>
    <n v="34257"/>
  </r>
  <r>
    <x v="8"/>
    <x v="30"/>
    <x v="172"/>
    <n v="49770"/>
  </r>
  <r>
    <x v="8"/>
    <x v="57"/>
    <x v="172"/>
    <n v="39660"/>
  </r>
  <r>
    <x v="8"/>
    <x v="29"/>
    <x v="172"/>
    <n v="33269"/>
  </r>
  <r>
    <x v="8"/>
    <x v="3"/>
    <x v="172"/>
    <n v="29330"/>
  </r>
  <r>
    <x v="6"/>
    <x v="2"/>
    <x v="173"/>
    <n v="30407"/>
  </r>
  <r>
    <x v="19"/>
    <x v="200"/>
    <x v="173"/>
    <n v="13201"/>
  </r>
  <r>
    <x v="8"/>
    <x v="55"/>
    <x v="173"/>
    <n v="35781"/>
  </r>
  <r>
    <x v="8"/>
    <x v="138"/>
    <x v="173"/>
    <n v="34292"/>
  </r>
  <r>
    <x v="8"/>
    <x v="89"/>
    <x v="173"/>
    <n v="59066"/>
  </r>
  <r>
    <x v="2"/>
    <x v="136"/>
    <x v="174"/>
    <n v="11759"/>
  </r>
  <r>
    <x v="2"/>
    <x v="128"/>
    <x v="174"/>
    <n v="42890"/>
  </r>
  <r>
    <x v="13"/>
    <x v="61"/>
    <x v="174"/>
    <n v="12881"/>
  </r>
  <r>
    <x v="12"/>
    <x v="166"/>
    <x v="174"/>
    <n v="16674"/>
  </r>
  <r>
    <x v="6"/>
    <x v="216"/>
    <x v="174"/>
    <n v="30022"/>
  </r>
  <r>
    <x v="6"/>
    <x v="23"/>
    <x v="174"/>
    <n v="27345"/>
  </r>
  <r>
    <x v="7"/>
    <x v="217"/>
    <x v="174"/>
    <n v="29665"/>
  </r>
  <r>
    <x v="8"/>
    <x v="131"/>
    <x v="174"/>
    <n v="55748"/>
  </r>
  <r>
    <x v="8"/>
    <x v="27"/>
    <x v="174"/>
    <n v="35390"/>
  </r>
  <r>
    <x v="8"/>
    <x v="143"/>
    <x v="174"/>
    <n v="52399"/>
  </r>
  <r>
    <x v="8"/>
    <x v="58"/>
    <x v="174"/>
    <n v="54854"/>
  </r>
  <r>
    <x v="8"/>
    <x v="29"/>
    <x v="174"/>
    <n v="37703"/>
  </r>
  <r>
    <x v="8"/>
    <x v="89"/>
    <x v="174"/>
    <n v="57480"/>
  </r>
  <r>
    <x v="1"/>
    <x v="1"/>
    <x v="175"/>
    <n v="14392"/>
  </r>
  <r>
    <x v="2"/>
    <x v="149"/>
    <x v="175"/>
    <n v="32381"/>
  </r>
  <r>
    <x v="13"/>
    <x v="214"/>
    <x v="175"/>
    <n v="17062"/>
  </r>
  <r>
    <x v="4"/>
    <x v="5"/>
    <x v="175"/>
    <n v="18202"/>
  </r>
  <r>
    <x v="9"/>
    <x v="32"/>
    <x v="175"/>
    <n v="6749"/>
  </r>
  <r>
    <x v="5"/>
    <x v="122"/>
    <x v="175"/>
    <n v="24013"/>
  </r>
  <r>
    <x v="5"/>
    <x v="123"/>
    <x v="175"/>
    <n v="28386"/>
  </r>
  <r>
    <x v="7"/>
    <x v="222"/>
    <x v="175"/>
    <n v="38589"/>
  </r>
  <r>
    <x v="7"/>
    <x v="88"/>
    <x v="175"/>
    <n v="34503"/>
  </r>
  <r>
    <x v="8"/>
    <x v="30"/>
    <x v="175"/>
    <n v="37991"/>
  </r>
  <r>
    <x v="8"/>
    <x v="30"/>
    <x v="175"/>
    <n v="46518"/>
  </r>
  <r>
    <x v="8"/>
    <x v="66"/>
    <x v="175"/>
    <n v="37429"/>
  </r>
  <r>
    <x v="8"/>
    <x v="14"/>
    <x v="175"/>
    <n v="51458"/>
  </r>
  <r>
    <x v="8"/>
    <x v="112"/>
    <x v="175"/>
    <n v="46087"/>
  </r>
  <r>
    <x v="8"/>
    <x v="67"/>
    <x v="175"/>
    <n v="48037"/>
  </r>
  <r>
    <x v="0"/>
    <x v="218"/>
    <x v="176"/>
    <n v="13401"/>
  </r>
  <r>
    <x v="2"/>
    <x v="224"/>
    <x v="176"/>
    <n v="33311"/>
  </r>
  <r>
    <x v="2"/>
    <x v="90"/>
    <x v="176"/>
    <n v="25906"/>
  </r>
  <r>
    <x v="2"/>
    <x v="233"/>
    <x v="176"/>
    <n v="41204"/>
  </r>
  <r>
    <x v="13"/>
    <x v="191"/>
    <x v="176"/>
    <n v="24975"/>
  </r>
  <r>
    <x v="14"/>
    <x v="48"/>
    <x v="176"/>
    <n v="5200"/>
  </r>
  <r>
    <x v="9"/>
    <x v="86"/>
    <x v="176"/>
    <n v="11189"/>
  </r>
  <r>
    <x v="5"/>
    <x v="186"/>
    <x v="176"/>
    <n v="22834"/>
  </r>
  <r>
    <x v="6"/>
    <x v="152"/>
    <x v="176"/>
    <n v="26164"/>
  </r>
  <r>
    <x v="7"/>
    <x v="217"/>
    <x v="176"/>
    <n v="37520"/>
  </r>
  <r>
    <x v="7"/>
    <x v="78"/>
    <x v="176"/>
    <n v="27741"/>
  </r>
  <r>
    <x v="8"/>
    <x v="74"/>
    <x v="176"/>
    <n v="34365"/>
  </r>
  <r>
    <x v="8"/>
    <x v="129"/>
    <x v="176"/>
    <n v="27837"/>
  </r>
  <r>
    <x v="8"/>
    <x v="40"/>
    <x v="176"/>
    <n v="48111"/>
  </r>
  <r>
    <x v="8"/>
    <x v="40"/>
    <x v="176"/>
    <n v="33909"/>
  </r>
  <r>
    <x v="8"/>
    <x v="113"/>
    <x v="176"/>
    <n v="43797"/>
  </r>
  <r>
    <x v="0"/>
    <x v="104"/>
    <x v="177"/>
    <n v="16815"/>
  </r>
  <r>
    <x v="2"/>
    <x v="95"/>
    <x v="177"/>
    <n v="33487"/>
  </r>
  <r>
    <x v="2"/>
    <x v="90"/>
    <x v="177"/>
    <n v="24277"/>
  </r>
  <r>
    <x v="2"/>
    <x v="105"/>
    <x v="177"/>
    <n v="30409"/>
  </r>
  <r>
    <x v="3"/>
    <x v="155"/>
    <x v="177"/>
    <n v="13006"/>
  </r>
  <r>
    <x v="11"/>
    <x v="231"/>
    <x v="177"/>
    <n v="32662"/>
  </r>
  <r>
    <x v="12"/>
    <x v="109"/>
    <x v="177"/>
    <n v="10463"/>
  </r>
  <r>
    <x v="6"/>
    <x v="9"/>
    <x v="177"/>
    <n v="21740"/>
  </r>
  <r>
    <x v="7"/>
    <x v="53"/>
    <x v="177"/>
    <n v="43224"/>
  </r>
  <r>
    <x v="7"/>
    <x v="201"/>
    <x v="177"/>
    <n v="34837"/>
  </r>
  <r>
    <x v="7"/>
    <x v="134"/>
    <x v="177"/>
    <n v="33726"/>
  </r>
  <r>
    <x v="7"/>
    <x v="12"/>
    <x v="177"/>
    <n v="41622"/>
  </r>
  <r>
    <x v="8"/>
    <x v="170"/>
    <x v="177"/>
    <n v="43495"/>
  </r>
  <r>
    <x v="8"/>
    <x v="157"/>
    <x v="177"/>
    <n v="38748"/>
  </r>
  <r>
    <x v="8"/>
    <x v="58"/>
    <x v="177"/>
    <n v="48981"/>
  </r>
  <r>
    <x v="17"/>
    <x v="175"/>
    <x v="178"/>
    <n v="15435"/>
  </r>
  <r>
    <x v="11"/>
    <x v="204"/>
    <x v="178"/>
    <n v="29464"/>
  </r>
  <r>
    <x v="9"/>
    <x v="168"/>
    <x v="178"/>
    <n v="12933"/>
  </r>
  <r>
    <x v="9"/>
    <x v="107"/>
    <x v="178"/>
    <n v="15221"/>
  </r>
  <r>
    <x v="9"/>
    <x v="20"/>
    <x v="178"/>
    <n v="23906"/>
  </r>
  <r>
    <x v="5"/>
    <x v="164"/>
    <x v="178"/>
    <n v="42294"/>
  </r>
  <r>
    <x v="8"/>
    <x v="129"/>
    <x v="178"/>
    <n v="38748"/>
  </r>
  <r>
    <x v="8"/>
    <x v="143"/>
    <x v="178"/>
    <n v="48705"/>
  </r>
  <r>
    <x v="8"/>
    <x v="57"/>
    <x v="178"/>
    <n v="38353"/>
  </r>
  <r>
    <x v="8"/>
    <x v="67"/>
    <x v="178"/>
    <n v="39098"/>
  </r>
  <r>
    <x v="2"/>
    <x v="162"/>
    <x v="179"/>
    <n v="49208"/>
  </r>
  <r>
    <x v="4"/>
    <x v="173"/>
    <x v="179"/>
    <n v="9714"/>
  </r>
  <r>
    <x v="11"/>
    <x v="17"/>
    <x v="179"/>
    <n v="18214"/>
  </r>
  <r>
    <x v="14"/>
    <x v="208"/>
    <x v="179"/>
    <n v="32465"/>
  </r>
  <r>
    <x v="15"/>
    <x v="76"/>
    <x v="179"/>
    <n v="14752"/>
  </r>
  <r>
    <x v="7"/>
    <x v="26"/>
    <x v="179"/>
    <n v="38564"/>
  </r>
  <r>
    <x v="8"/>
    <x v="27"/>
    <x v="179"/>
    <n v="40749"/>
  </r>
  <r>
    <x v="8"/>
    <x v="94"/>
    <x v="179"/>
    <n v="43523"/>
  </r>
  <r>
    <x v="8"/>
    <x v="150"/>
    <x v="179"/>
    <n v="27060"/>
  </r>
  <r>
    <x v="8"/>
    <x v="82"/>
    <x v="179"/>
    <n v="53843"/>
  </r>
  <r>
    <x v="8"/>
    <x v="82"/>
    <x v="179"/>
    <n v="43448"/>
  </r>
  <r>
    <x v="8"/>
    <x v="130"/>
    <x v="179"/>
    <n v="54969"/>
  </r>
  <r>
    <x v="8"/>
    <x v="130"/>
    <x v="179"/>
    <n v="42065"/>
  </r>
  <r>
    <x v="8"/>
    <x v="59"/>
    <x v="179"/>
    <n v="29634"/>
  </r>
  <r>
    <x v="0"/>
    <x v="16"/>
    <x v="180"/>
    <n v="19759"/>
  </r>
  <r>
    <x v="0"/>
    <x v="159"/>
    <x v="180"/>
    <n v="14115"/>
  </r>
  <r>
    <x v="2"/>
    <x v="139"/>
    <x v="180"/>
    <n v="29048"/>
  </r>
  <r>
    <x v="2"/>
    <x v="232"/>
    <x v="180"/>
    <n v="47076"/>
  </r>
  <r>
    <x v="11"/>
    <x v="234"/>
    <x v="180"/>
    <n v="12361"/>
  </r>
  <r>
    <x v="11"/>
    <x v="184"/>
    <x v="180"/>
    <n v="18214"/>
  </r>
  <r>
    <x v="5"/>
    <x v="151"/>
    <x v="180"/>
    <n v="23886"/>
  </r>
  <r>
    <x v="6"/>
    <x v="51"/>
    <x v="180"/>
    <n v="6270"/>
  </r>
  <r>
    <x v="7"/>
    <x v="179"/>
    <x v="180"/>
    <n v="30585"/>
  </r>
  <r>
    <x v="7"/>
    <x v="118"/>
    <x v="180"/>
    <n v="29054"/>
  </r>
  <r>
    <x v="7"/>
    <x v="119"/>
    <x v="180"/>
    <n v="13063"/>
  </r>
  <r>
    <x v="7"/>
    <x v="93"/>
    <x v="180"/>
    <n v="26672"/>
  </r>
  <r>
    <x v="8"/>
    <x v="112"/>
    <x v="180"/>
    <n v="40952"/>
  </r>
  <r>
    <x v="8"/>
    <x v="153"/>
    <x v="180"/>
    <n v="33876"/>
  </r>
  <r>
    <x v="17"/>
    <x v="125"/>
    <x v="181"/>
    <n v="14147"/>
  </r>
  <r>
    <x v="1"/>
    <x v="1"/>
    <x v="181"/>
    <n v="14396"/>
  </r>
  <r>
    <x v="2"/>
    <x v="87"/>
    <x v="181"/>
    <n v="30238"/>
  </r>
  <r>
    <x v="2"/>
    <x v="233"/>
    <x v="181"/>
    <n v="42373"/>
  </r>
  <r>
    <x v="13"/>
    <x v="121"/>
    <x v="181"/>
    <n v="19739"/>
  </r>
  <r>
    <x v="13"/>
    <x v="44"/>
    <x v="181"/>
    <n v="16404"/>
  </r>
  <r>
    <x v="14"/>
    <x v="100"/>
    <x v="181"/>
    <n v="13286"/>
  </r>
  <r>
    <x v="14"/>
    <x v="101"/>
    <x v="181"/>
    <n v="15832"/>
  </r>
  <r>
    <x v="12"/>
    <x v="227"/>
    <x v="181"/>
    <n v="5200"/>
  </r>
  <r>
    <x v="7"/>
    <x v="217"/>
    <x v="181"/>
    <n v="22929"/>
  </r>
  <r>
    <x v="7"/>
    <x v="143"/>
    <x v="181"/>
    <n v="46984"/>
  </r>
  <r>
    <x v="7"/>
    <x v="180"/>
    <x v="181"/>
    <n v="42500"/>
  </r>
  <r>
    <x v="8"/>
    <x v="47"/>
    <x v="181"/>
    <n v="35776"/>
  </r>
  <r>
    <x v="8"/>
    <x v="128"/>
    <x v="181"/>
    <n v="38926"/>
  </r>
  <r>
    <x v="8"/>
    <x v="153"/>
    <x v="181"/>
    <n v="49464"/>
  </r>
  <r>
    <x v="2"/>
    <x v="90"/>
    <x v="182"/>
    <n v="20812"/>
  </r>
  <r>
    <x v="2"/>
    <x v="145"/>
    <x v="182"/>
    <n v="27797"/>
  </r>
  <r>
    <x v="9"/>
    <x v="219"/>
    <x v="182"/>
    <n v="17839"/>
  </r>
  <r>
    <x v="5"/>
    <x v="186"/>
    <x v="182"/>
    <n v="21292"/>
  </r>
  <r>
    <x v="5"/>
    <x v="61"/>
    <x v="182"/>
    <n v="19165"/>
  </r>
  <r>
    <x v="7"/>
    <x v="222"/>
    <x v="182"/>
    <n v="24840"/>
  </r>
  <r>
    <x v="7"/>
    <x v="79"/>
    <x v="182"/>
    <n v="29964"/>
  </r>
  <r>
    <x v="7"/>
    <x v="142"/>
    <x v="182"/>
    <n v="44091"/>
  </r>
  <r>
    <x v="8"/>
    <x v="39"/>
    <x v="182"/>
    <n v="35189"/>
  </r>
  <r>
    <x v="8"/>
    <x v="3"/>
    <x v="182"/>
    <n v="50241"/>
  </r>
  <r>
    <x v="8"/>
    <x v="67"/>
    <x v="182"/>
    <n v="43902"/>
  </r>
  <r>
    <x v="2"/>
    <x v="95"/>
    <x v="183"/>
    <n v="34768"/>
  </r>
  <r>
    <x v="2"/>
    <x v="132"/>
    <x v="183"/>
    <n v="44091"/>
  </r>
  <r>
    <x v="2"/>
    <x v="162"/>
    <x v="183"/>
    <n v="46531"/>
  </r>
  <r>
    <x v="3"/>
    <x v="43"/>
    <x v="183"/>
    <n v="27803"/>
  </r>
  <r>
    <x v="13"/>
    <x v="116"/>
    <x v="183"/>
    <n v="18971"/>
  </r>
  <r>
    <x v="6"/>
    <x v="188"/>
    <x v="183"/>
    <n v="10152"/>
  </r>
  <r>
    <x v="7"/>
    <x v="26"/>
    <x v="183"/>
    <n v="42781"/>
  </r>
  <r>
    <x v="8"/>
    <x v="55"/>
    <x v="183"/>
    <n v="23060"/>
  </r>
  <r>
    <x v="8"/>
    <x v="66"/>
    <x v="183"/>
    <n v="44220"/>
  </r>
  <r>
    <x v="8"/>
    <x v="94"/>
    <x v="183"/>
    <n v="49670"/>
  </r>
  <r>
    <x v="8"/>
    <x v="15"/>
    <x v="183"/>
    <n v="44091"/>
  </r>
  <r>
    <x v="8"/>
    <x v="41"/>
    <x v="183"/>
    <n v="44427"/>
  </r>
  <r>
    <x v="0"/>
    <x v="218"/>
    <x v="184"/>
    <n v="17628"/>
  </r>
  <r>
    <x v="2"/>
    <x v="41"/>
    <x v="184"/>
    <n v="57277"/>
  </r>
  <r>
    <x v="11"/>
    <x v="203"/>
    <x v="184"/>
    <n v="21900"/>
  </r>
  <r>
    <x v="9"/>
    <x v="107"/>
    <x v="184"/>
    <n v="6743"/>
  </r>
  <r>
    <x v="9"/>
    <x v="115"/>
    <x v="184"/>
    <n v="21359"/>
  </r>
  <r>
    <x v="7"/>
    <x v="22"/>
    <x v="184"/>
    <n v="30473"/>
  </r>
  <r>
    <x v="7"/>
    <x v="179"/>
    <x v="184"/>
    <n v="44867"/>
  </r>
  <r>
    <x v="7"/>
    <x v="179"/>
    <x v="184"/>
    <n v="38245"/>
  </r>
  <r>
    <x v="7"/>
    <x v="111"/>
    <x v="184"/>
    <n v="29599"/>
  </r>
  <r>
    <x v="8"/>
    <x v="30"/>
    <x v="184"/>
    <n v="44041"/>
  </r>
  <r>
    <x v="8"/>
    <x v="129"/>
    <x v="184"/>
    <n v="37197"/>
  </r>
  <r>
    <x v="8"/>
    <x v="28"/>
    <x v="184"/>
    <n v="42634"/>
  </r>
  <r>
    <x v="8"/>
    <x v="41"/>
    <x v="184"/>
    <n v="54452"/>
  </r>
  <r>
    <x v="0"/>
    <x v="212"/>
    <x v="185"/>
    <n v="7045"/>
  </r>
  <r>
    <x v="13"/>
    <x v="114"/>
    <x v="185"/>
    <n v="14039"/>
  </r>
  <r>
    <x v="11"/>
    <x v="146"/>
    <x v="185"/>
    <n v="16582"/>
  </r>
  <r>
    <x v="9"/>
    <x v="86"/>
    <x v="185"/>
    <n v="12721"/>
  </r>
  <r>
    <x v="10"/>
    <x v="185"/>
    <x v="185"/>
    <n v="7449"/>
  </r>
  <r>
    <x v="12"/>
    <x v="167"/>
    <x v="185"/>
    <n v="14203"/>
  </r>
  <r>
    <x v="6"/>
    <x v="64"/>
    <x v="185"/>
    <n v="23816"/>
  </r>
  <r>
    <x v="6"/>
    <x v="36"/>
    <x v="185"/>
    <n v="27282"/>
  </r>
  <r>
    <x v="7"/>
    <x v="179"/>
    <x v="185"/>
    <n v="39425"/>
  </r>
  <r>
    <x v="7"/>
    <x v="38"/>
    <x v="185"/>
    <n v="37847"/>
  </r>
  <r>
    <x v="8"/>
    <x v="129"/>
    <x v="185"/>
    <n v="28886"/>
  </r>
  <r>
    <x v="8"/>
    <x v="138"/>
    <x v="185"/>
    <n v="34491"/>
  </r>
  <r>
    <x v="2"/>
    <x v="47"/>
    <x v="186"/>
    <n v="49598"/>
  </r>
  <r>
    <x v="2"/>
    <x v="153"/>
    <x v="186"/>
    <n v="42083"/>
  </r>
  <r>
    <x v="6"/>
    <x v="110"/>
    <x v="186"/>
    <n v="14226"/>
  </r>
  <r>
    <x v="6"/>
    <x v="71"/>
    <x v="186"/>
    <n v="30162"/>
  </r>
  <r>
    <x v="6"/>
    <x v="210"/>
    <x v="186"/>
    <n v="36767"/>
  </r>
  <r>
    <x v="6"/>
    <x v="235"/>
    <x v="186"/>
    <n v="40874"/>
  </r>
  <r>
    <x v="7"/>
    <x v="25"/>
    <x v="186"/>
    <n v="38001"/>
  </r>
  <r>
    <x v="7"/>
    <x v="22"/>
    <x v="186"/>
    <n v="39891"/>
  </r>
  <r>
    <x v="7"/>
    <x v="81"/>
    <x v="186"/>
    <n v="37071"/>
  </r>
  <r>
    <x v="7"/>
    <x v="124"/>
    <x v="186"/>
    <n v="35752"/>
  </r>
  <r>
    <x v="8"/>
    <x v="81"/>
    <x v="186"/>
    <n v="36398"/>
  </r>
  <r>
    <x v="8"/>
    <x v="41"/>
    <x v="186"/>
    <n v="41080"/>
  </r>
  <r>
    <x v="2"/>
    <x v="183"/>
    <x v="187"/>
    <n v="35160"/>
  </r>
  <r>
    <x v="5"/>
    <x v="50"/>
    <x v="187"/>
    <n v="20236"/>
  </r>
  <r>
    <x v="6"/>
    <x v="9"/>
    <x v="187"/>
    <n v="23268"/>
  </r>
  <r>
    <x v="7"/>
    <x v="72"/>
    <x v="187"/>
    <n v="39431"/>
  </r>
  <r>
    <x v="7"/>
    <x v="134"/>
    <x v="187"/>
    <n v="22761"/>
  </r>
  <r>
    <x v="8"/>
    <x v="157"/>
    <x v="187"/>
    <n v="44576"/>
  </r>
  <r>
    <x v="8"/>
    <x v="81"/>
    <x v="187"/>
    <n v="45099"/>
  </r>
  <r>
    <x v="8"/>
    <x v="81"/>
    <x v="187"/>
    <n v="41791"/>
  </r>
  <r>
    <x v="8"/>
    <x v="40"/>
    <x v="187"/>
    <n v="48772"/>
  </r>
  <r>
    <x v="8"/>
    <x v="130"/>
    <x v="187"/>
    <n v="22265"/>
  </r>
  <r>
    <x v="8"/>
    <x v="84"/>
    <x v="187"/>
    <n v="39558"/>
  </r>
  <r>
    <x v="2"/>
    <x v="136"/>
    <x v="188"/>
    <n v="26289"/>
  </r>
  <r>
    <x v="6"/>
    <x v="9"/>
    <x v="188"/>
    <n v="23146"/>
  </r>
  <r>
    <x v="7"/>
    <x v="37"/>
    <x v="188"/>
    <n v="25232"/>
  </r>
  <r>
    <x v="7"/>
    <x v="71"/>
    <x v="188"/>
    <n v="38792"/>
  </r>
  <r>
    <x v="7"/>
    <x v="78"/>
    <x v="188"/>
    <n v="27900"/>
  </r>
  <r>
    <x v="7"/>
    <x v="119"/>
    <x v="188"/>
    <n v="40726"/>
  </r>
  <r>
    <x v="7"/>
    <x v="211"/>
    <x v="188"/>
    <n v="59689"/>
  </r>
  <r>
    <x v="8"/>
    <x v="128"/>
    <x v="188"/>
    <n v="33152"/>
  </r>
  <r>
    <x v="8"/>
    <x v="113"/>
    <x v="188"/>
    <n v="31726"/>
  </r>
  <r>
    <x v="8"/>
    <x v="67"/>
    <x v="188"/>
    <n v="58474"/>
  </r>
  <r>
    <x v="5"/>
    <x v="8"/>
    <x v="189"/>
    <n v="41033"/>
  </r>
  <r>
    <x v="5"/>
    <x v="123"/>
    <x v="189"/>
    <n v="29370"/>
  </r>
  <r>
    <x v="6"/>
    <x v="122"/>
    <x v="189"/>
    <n v="25067"/>
  </r>
  <r>
    <x v="7"/>
    <x v="170"/>
    <x v="189"/>
    <n v="55282"/>
  </r>
  <r>
    <x v="7"/>
    <x v="88"/>
    <x v="189"/>
    <n v="39179"/>
  </r>
  <r>
    <x v="7"/>
    <x v="93"/>
    <x v="189"/>
    <n v="21396"/>
  </r>
  <r>
    <x v="8"/>
    <x v="47"/>
    <x v="189"/>
    <n v="44010"/>
  </r>
  <r>
    <x v="8"/>
    <x v="194"/>
    <x v="189"/>
    <n v="37288"/>
  </r>
  <r>
    <x v="8"/>
    <x v="150"/>
    <x v="189"/>
    <n v="37686"/>
  </r>
  <r>
    <x v="8"/>
    <x v="138"/>
    <x v="189"/>
    <n v="29384"/>
  </r>
  <r>
    <x v="8"/>
    <x v="113"/>
    <x v="189"/>
    <n v="47248"/>
  </r>
  <r>
    <x v="8"/>
    <x v="135"/>
    <x v="189"/>
    <n v="56724"/>
  </r>
  <r>
    <x v="8"/>
    <x v="84"/>
    <x v="189"/>
    <n v="40512"/>
  </r>
  <r>
    <x v="13"/>
    <x v="68"/>
    <x v="190"/>
    <n v="17041"/>
  </r>
  <r>
    <x v="11"/>
    <x v="184"/>
    <x v="190"/>
    <n v="17576"/>
  </r>
  <r>
    <x v="14"/>
    <x v="48"/>
    <x v="190"/>
    <n v="5200"/>
  </r>
  <r>
    <x v="14"/>
    <x v="208"/>
    <x v="190"/>
    <n v="5200"/>
  </r>
  <r>
    <x v="9"/>
    <x v="209"/>
    <x v="190"/>
    <n v="18268"/>
  </r>
  <r>
    <x v="9"/>
    <x v="49"/>
    <x v="190"/>
    <n v="22647"/>
  </r>
  <r>
    <x v="15"/>
    <x v="205"/>
    <x v="190"/>
    <n v="13933"/>
  </r>
  <r>
    <x v="6"/>
    <x v="52"/>
    <x v="190"/>
    <n v="43274"/>
  </r>
  <r>
    <x v="7"/>
    <x v="25"/>
    <x v="190"/>
    <n v="36302"/>
  </r>
  <r>
    <x v="7"/>
    <x v="78"/>
    <x v="190"/>
    <n v="29009"/>
  </r>
  <r>
    <x v="8"/>
    <x v="170"/>
    <x v="190"/>
    <n v="40527"/>
  </r>
  <r>
    <x v="8"/>
    <x v="102"/>
    <x v="190"/>
    <n v="34423"/>
  </r>
  <r>
    <x v="8"/>
    <x v="143"/>
    <x v="190"/>
    <n v="54785"/>
  </r>
  <r>
    <x v="8"/>
    <x v="57"/>
    <x v="190"/>
    <n v="34094"/>
  </r>
  <r>
    <x v="8"/>
    <x v="137"/>
    <x v="190"/>
    <n v="25259"/>
  </r>
  <r>
    <x v="4"/>
    <x v="192"/>
    <x v="191"/>
    <n v="15397"/>
  </r>
  <r>
    <x v="4"/>
    <x v="98"/>
    <x v="191"/>
    <n v="15285"/>
  </r>
  <r>
    <x v="14"/>
    <x v="207"/>
    <x v="191"/>
    <n v="15487"/>
  </r>
  <r>
    <x v="9"/>
    <x v="198"/>
    <x v="191"/>
    <n v="23719"/>
  </r>
  <r>
    <x v="9"/>
    <x v="34"/>
    <x v="191"/>
    <n v="24696"/>
  </r>
  <r>
    <x v="5"/>
    <x v="148"/>
    <x v="191"/>
    <n v="37989"/>
  </r>
  <r>
    <x v="6"/>
    <x v="152"/>
    <x v="191"/>
    <n v="25695"/>
  </r>
  <r>
    <x v="6"/>
    <x v="77"/>
    <x v="191"/>
    <n v="38470"/>
  </r>
  <r>
    <x v="7"/>
    <x v="26"/>
    <x v="191"/>
    <n v="33263"/>
  </r>
  <r>
    <x v="8"/>
    <x v="131"/>
    <x v="191"/>
    <n v="49669"/>
  </r>
  <r>
    <x v="8"/>
    <x v="27"/>
    <x v="191"/>
    <n v="50926"/>
  </r>
  <r>
    <x v="8"/>
    <x v="81"/>
    <x v="191"/>
    <n v="34574"/>
  </r>
  <r>
    <x v="2"/>
    <x v="181"/>
    <x v="192"/>
    <n v="26055"/>
  </r>
  <r>
    <x v="3"/>
    <x v="225"/>
    <x v="192"/>
    <n v="28910"/>
  </r>
  <r>
    <x v="13"/>
    <x v="106"/>
    <x v="192"/>
    <n v="20738"/>
  </r>
  <r>
    <x v="4"/>
    <x v="62"/>
    <x v="192"/>
    <n v="5200"/>
  </r>
  <r>
    <x v="9"/>
    <x v="91"/>
    <x v="192"/>
    <n v="19591"/>
  </r>
  <r>
    <x v="18"/>
    <x v="176"/>
    <x v="192"/>
    <n v="24294"/>
  </r>
  <r>
    <x v="5"/>
    <x v="151"/>
    <x v="192"/>
    <n v="24120"/>
  </r>
  <r>
    <x v="15"/>
    <x v="76"/>
    <x v="192"/>
    <n v="13792"/>
  </r>
  <r>
    <x v="6"/>
    <x v="117"/>
    <x v="192"/>
    <n v="30833"/>
  </r>
  <r>
    <x v="7"/>
    <x v="124"/>
    <x v="192"/>
    <n v="37811"/>
  </r>
  <r>
    <x v="7"/>
    <x v="72"/>
    <x v="192"/>
    <n v="54950"/>
  </r>
  <r>
    <x v="7"/>
    <x v="12"/>
    <x v="192"/>
    <n v="36823"/>
  </r>
  <r>
    <x v="2"/>
    <x v="18"/>
    <x v="193"/>
    <n v="36695"/>
  </r>
  <r>
    <x v="2"/>
    <x v="137"/>
    <x v="193"/>
    <n v="34230"/>
  </r>
  <r>
    <x v="2"/>
    <x v="60"/>
    <x v="193"/>
    <n v="41525"/>
  </r>
  <r>
    <x v="10"/>
    <x v="175"/>
    <x v="193"/>
    <n v="15014"/>
  </r>
  <r>
    <x v="5"/>
    <x v="169"/>
    <x v="193"/>
    <n v="24932"/>
  </r>
  <r>
    <x v="6"/>
    <x v="220"/>
    <x v="193"/>
    <n v="24987"/>
  </r>
  <r>
    <x v="8"/>
    <x v="128"/>
    <x v="193"/>
    <n v="33106"/>
  </r>
  <r>
    <x v="8"/>
    <x v="74"/>
    <x v="193"/>
    <n v="25998"/>
  </r>
  <r>
    <x v="8"/>
    <x v="157"/>
    <x v="193"/>
    <n v="56382"/>
  </r>
  <r>
    <x v="8"/>
    <x v="28"/>
    <x v="193"/>
    <n v="29992"/>
  </r>
  <r>
    <x v="8"/>
    <x v="113"/>
    <x v="193"/>
    <n v="44624"/>
  </r>
  <r>
    <x v="16"/>
    <x v="99"/>
    <x v="194"/>
    <n v="15390"/>
  </r>
  <r>
    <x v="6"/>
    <x v="221"/>
    <x v="194"/>
    <n v="26231"/>
  </r>
  <r>
    <x v="7"/>
    <x v="87"/>
    <x v="194"/>
    <n v="32059"/>
  </r>
  <r>
    <x v="7"/>
    <x v="156"/>
    <x v="194"/>
    <n v="36912"/>
  </r>
  <r>
    <x v="7"/>
    <x v="54"/>
    <x v="194"/>
    <n v="42822"/>
  </r>
  <r>
    <x v="7"/>
    <x v="137"/>
    <x v="194"/>
    <n v="35935"/>
  </r>
  <r>
    <x v="7"/>
    <x v="180"/>
    <x v="194"/>
    <n v="39030"/>
  </r>
  <r>
    <x v="7"/>
    <x v="80"/>
    <x v="194"/>
    <n v="27307"/>
  </r>
  <r>
    <x v="8"/>
    <x v="170"/>
    <x v="194"/>
    <n v="41740"/>
  </r>
  <r>
    <x v="8"/>
    <x v="40"/>
    <x v="194"/>
    <n v="40202"/>
  </r>
  <r>
    <x v="8"/>
    <x v="137"/>
    <x v="194"/>
    <n v="27633"/>
  </r>
  <r>
    <x v="8"/>
    <x v="138"/>
    <x v="194"/>
    <n v="35104"/>
  </r>
  <r>
    <x v="8"/>
    <x v="73"/>
    <x v="194"/>
    <n v="31095"/>
  </r>
  <r>
    <x v="2"/>
    <x v="39"/>
    <x v="195"/>
    <n v="41602"/>
  </r>
  <r>
    <x v="2"/>
    <x v="105"/>
    <x v="195"/>
    <n v="14912"/>
  </r>
  <r>
    <x v="3"/>
    <x v="42"/>
    <x v="195"/>
    <n v="10673"/>
  </r>
  <r>
    <x v="14"/>
    <x v="4"/>
    <x v="195"/>
    <n v="16574"/>
  </r>
  <r>
    <x v="8"/>
    <x v="57"/>
    <x v="195"/>
    <n v="34556"/>
  </r>
  <r>
    <x v="8"/>
    <x v="29"/>
    <x v="195"/>
    <n v="42387"/>
  </r>
  <r>
    <x v="8"/>
    <x v="137"/>
    <x v="195"/>
    <n v="30715"/>
  </r>
  <r>
    <x v="8"/>
    <x v="89"/>
    <x v="195"/>
    <n v="53088"/>
  </r>
  <r>
    <x v="8"/>
    <x v="67"/>
    <x v="195"/>
    <n v="61717"/>
  </r>
  <r>
    <x v="0"/>
    <x v="0"/>
    <x v="196"/>
    <n v="15428"/>
  </r>
  <r>
    <x v="0"/>
    <x v="85"/>
    <x v="196"/>
    <n v="11187"/>
  </r>
  <r>
    <x v="2"/>
    <x v="156"/>
    <x v="196"/>
    <n v="32206"/>
  </r>
  <r>
    <x v="2"/>
    <x v="196"/>
    <x v="196"/>
    <n v="24862"/>
  </r>
  <r>
    <x v="2"/>
    <x v="161"/>
    <x v="196"/>
    <n v="37932"/>
  </r>
  <r>
    <x v="13"/>
    <x v="202"/>
    <x v="196"/>
    <n v="19148"/>
  </r>
  <r>
    <x v="13"/>
    <x v="172"/>
    <x v="196"/>
    <n v="17232"/>
  </r>
  <r>
    <x v="4"/>
    <x v="96"/>
    <x v="196"/>
    <n v="18263"/>
  </r>
  <r>
    <x v="5"/>
    <x v="164"/>
    <x v="196"/>
    <n v="12048"/>
  </r>
  <r>
    <x v="7"/>
    <x v="119"/>
    <x v="196"/>
    <n v="29347"/>
  </r>
  <r>
    <x v="7"/>
    <x v="134"/>
    <x v="196"/>
    <n v="31385"/>
  </r>
  <r>
    <x v="8"/>
    <x v="57"/>
    <x v="196"/>
    <n v="43877"/>
  </r>
  <r>
    <x v="8"/>
    <x v="150"/>
    <x v="196"/>
    <n v="40574"/>
  </r>
  <r>
    <x v="0"/>
    <x v="223"/>
    <x v="197"/>
    <n v="15992"/>
  </r>
  <r>
    <x v="11"/>
    <x v="17"/>
    <x v="197"/>
    <n v="18978"/>
  </r>
  <r>
    <x v="18"/>
    <x v="163"/>
    <x v="197"/>
    <n v="12276"/>
  </r>
  <r>
    <x v="6"/>
    <x v="51"/>
    <x v="197"/>
    <n v="10200"/>
  </r>
  <r>
    <x v="8"/>
    <x v="28"/>
    <x v="197"/>
    <n v="34325"/>
  </r>
  <r>
    <x v="8"/>
    <x v="14"/>
    <x v="197"/>
    <n v="38007"/>
  </r>
  <r>
    <x v="2"/>
    <x v="75"/>
    <x v="198"/>
    <n v="12475"/>
  </r>
  <r>
    <x v="2"/>
    <x v="56"/>
    <x v="198"/>
    <n v="39256"/>
  </r>
  <r>
    <x v="2"/>
    <x v="90"/>
    <x v="198"/>
    <n v="25324"/>
  </r>
  <r>
    <x v="2"/>
    <x v="90"/>
    <x v="198"/>
    <n v="28796"/>
  </r>
  <r>
    <x v="2"/>
    <x v="160"/>
    <x v="198"/>
    <n v="37220"/>
  </r>
  <r>
    <x v="2"/>
    <x v="73"/>
    <x v="198"/>
    <n v="25832"/>
  </r>
  <r>
    <x v="5"/>
    <x v="108"/>
    <x v="198"/>
    <n v="19274"/>
  </r>
  <r>
    <x v="7"/>
    <x v="37"/>
    <x v="198"/>
    <n v="35424"/>
  </r>
  <r>
    <x v="7"/>
    <x v="54"/>
    <x v="198"/>
    <n v="49562"/>
  </r>
  <r>
    <x v="7"/>
    <x v="46"/>
    <x v="198"/>
    <n v="34548"/>
  </r>
  <r>
    <x v="7"/>
    <x v="111"/>
    <x v="198"/>
    <n v="27083"/>
  </r>
  <r>
    <x v="8"/>
    <x v="135"/>
    <x v="198"/>
    <n v="45076"/>
  </r>
  <r>
    <x v="8"/>
    <x v="120"/>
    <x v="198"/>
    <n v="41833"/>
  </r>
  <r>
    <x v="0"/>
    <x v="159"/>
    <x v="199"/>
    <n v="22917"/>
  </r>
  <r>
    <x v="9"/>
    <x v="32"/>
    <x v="199"/>
    <n v="16397"/>
  </r>
  <r>
    <x v="10"/>
    <x v="226"/>
    <x v="199"/>
    <n v="13832"/>
  </r>
  <r>
    <x v="15"/>
    <x v="70"/>
    <x v="199"/>
    <n v="14657"/>
  </r>
  <r>
    <x v="12"/>
    <x v="177"/>
    <x v="199"/>
    <n v="10400"/>
  </r>
  <r>
    <x v="6"/>
    <x v="228"/>
    <x v="199"/>
    <n v="33511"/>
  </r>
  <r>
    <x v="6"/>
    <x v="23"/>
    <x v="199"/>
    <n v="29531"/>
  </r>
  <r>
    <x v="6"/>
    <x v="10"/>
    <x v="199"/>
    <n v="27695"/>
  </r>
  <r>
    <x v="7"/>
    <x v="201"/>
    <x v="199"/>
    <n v="29739"/>
  </r>
  <r>
    <x v="7"/>
    <x v="178"/>
    <x v="199"/>
    <n v="31313"/>
  </r>
  <r>
    <x v="7"/>
    <x v="79"/>
    <x v="199"/>
    <n v="24148"/>
  </r>
  <r>
    <x v="7"/>
    <x v="142"/>
    <x v="199"/>
    <n v="30261"/>
  </r>
  <r>
    <x v="8"/>
    <x v="143"/>
    <x v="199"/>
    <n v="53421"/>
  </r>
  <r>
    <x v="8"/>
    <x v="195"/>
    <x v="199"/>
    <n v="42047"/>
  </r>
  <r>
    <x v="8"/>
    <x v="113"/>
    <x v="199"/>
    <n v="32585"/>
  </r>
  <r>
    <x v="17"/>
    <x v="158"/>
    <x v="200"/>
    <n v="25113"/>
  </r>
  <r>
    <x v="0"/>
    <x v="189"/>
    <x v="200"/>
    <n v="5200"/>
  </r>
  <r>
    <x v="2"/>
    <x v="196"/>
    <x v="200"/>
    <n v="36558"/>
  </r>
  <r>
    <x v="2"/>
    <x v="196"/>
    <x v="200"/>
    <n v="27944"/>
  </r>
  <r>
    <x v="5"/>
    <x v="127"/>
    <x v="200"/>
    <n v="26272"/>
  </r>
  <r>
    <x v="6"/>
    <x v="24"/>
    <x v="200"/>
    <n v="20384"/>
  </r>
  <r>
    <x v="8"/>
    <x v="82"/>
    <x v="200"/>
    <n v="53798"/>
  </r>
  <r>
    <x v="8"/>
    <x v="112"/>
    <x v="200"/>
    <n v="40051"/>
  </r>
  <r>
    <x v="8"/>
    <x v="3"/>
    <x v="200"/>
    <n v="41361"/>
  </r>
  <r>
    <x v="8"/>
    <x v="153"/>
    <x v="200"/>
    <n v="51561"/>
  </r>
  <r>
    <x v="0"/>
    <x v="104"/>
    <x v="201"/>
    <n v="17312"/>
  </r>
  <r>
    <x v="2"/>
    <x v="149"/>
    <x v="201"/>
    <n v="35243"/>
  </r>
  <r>
    <x v="2"/>
    <x v="182"/>
    <x v="201"/>
    <n v="36971"/>
  </r>
  <r>
    <x v="2"/>
    <x v="213"/>
    <x v="201"/>
    <n v="23602"/>
  </r>
  <r>
    <x v="13"/>
    <x v="69"/>
    <x v="201"/>
    <n v="37152"/>
  </r>
  <r>
    <x v="11"/>
    <x v="234"/>
    <x v="201"/>
    <n v="20539"/>
  </r>
  <r>
    <x v="7"/>
    <x v="93"/>
    <x v="201"/>
    <n v="30931"/>
  </r>
  <r>
    <x v="7"/>
    <x v="13"/>
    <x v="201"/>
    <n v="47727"/>
  </r>
  <r>
    <x v="8"/>
    <x v="27"/>
    <x v="201"/>
    <n v="45411"/>
  </r>
  <r>
    <x v="8"/>
    <x v="29"/>
    <x v="201"/>
    <n v="36374"/>
  </r>
  <r>
    <x v="8"/>
    <x v="195"/>
    <x v="201"/>
    <n v="25676"/>
  </r>
  <r>
    <x v="8"/>
    <x v="120"/>
    <x v="201"/>
    <n v="41879"/>
  </r>
  <r>
    <x v="2"/>
    <x v="224"/>
    <x v="202"/>
    <n v="22526"/>
  </r>
  <r>
    <x v="2"/>
    <x v="139"/>
    <x v="202"/>
    <n v="22453"/>
  </r>
  <r>
    <x v="2"/>
    <x v="58"/>
    <x v="202"/>
    <n v="58840"/>
  </r>
  <r>
    <x v="3"/>
    <x v="155"/>
    <x v="202"/>
    <n v="14395"/>
  </r>
  <r>
    <x v="6"/>
    <x v="216"/>
    <x v="202"/>
    <n v="28819"/>
  </r>
  <r>
    <x v="7"/>
    <x v="37"/>
    <x v="202"/>
    <n v="30494"/>
  </r>
  <r>
    <x v="7"/>
    <x v="201"/>
    <x v="202"/>
    <n v="32175"/>
  </r>
  <r>
    <x v="7"/>
    <x v="12"/>
    <x v="202"/>
    <n v="39755"/>
  </r>
  <r>
    <x v="8"/>
    <x v="128"/>
    <x v="202"/>
    <n v="28350"/>
  </r>
  <r>
    <x v="8"/>
    <x v="74"/>
    <x v="202"/>
    <n v="38795"/>
  </r>
  <r>
    <x v="8"/>
    <x v="39"/>
    <x v="202"/>
    <n v="32087"/>
  </r>
  <r>
    <x v="8"/>
    <x v="40"/>
    <x v="202"/>
    <n v="47274"/>
  </r>
  <r>
    <x v="8"/>
    <x v="57"/>
    <x v="202"/>
    <n v="37733"/>
  </r>
  <r>
    <x v="8"/>
    <x v="59"/>
    <x v="202"/>
    <n v="34062"/>
  </r>
  <r>
    <x v="8"/>
    <x v="153"/>
    <x v="202"/>
    <n v="49267"/>
  </r>
  <r>
    <x v="2"/>
    <x v="112"/>
    <x v="203"/>
    <n v="41931"/>
  </r>
  <r>
    <x v="2"/>
    <x v="193"/>
    <x v="203"/>
    <n v="44947"/>
  </r>
  <r>
    <x v="3"/>
    <x v="33"/>
    <x v="203"/>
    <n v="15802"/>
  </r>
  <r>
    <x v="6"/>
    <x v="171"/>
    <x v="203"/>
    <n v="35534"/>
  </r>
  <r>
    <x v="8"/>
    <x v="153"/>
    <x v="203"/>
    <n v="39068"/>
  </r>
  <r>
    <x v="2"/>
    <x v="139"/>
    <x v="204"/>
    <n v="33279"/>
  </r>
  <r>
    <x v="2"/>
    <x v="190"/>
    <x v="204"/>
    <n v="32850"/>
  </r>
  <r>
    <x v="4"/>
    <x v="45"/>
    <x v="204"/>
    <n v="5597"/>
  </r>
  <r>
    <x v="11"/>
    <x v="31"/>
    <x v="204"/>
    <n v="18758"/>
  </r>
  <r>
    <x v="9"/>
    <x v="141"/>
    <x v="204"/>
    <n v="32055"/>
  </r>
  <r>
    <x v="7"/>
    <x v="230"/>
    <x v="204"/>
    <n v="37009"/>
  </r>
  <r>
    <x v="8"/>
    <x v="14"/>
    <x v="204"/>
    <n v="45795"/>
  </r>
  <r>
    <x v="8"/>
    <x v="120"/>
    <x v="204"/>
    <n v="39402"/>
  </r>
  <r>
    <x v="8"/>
    <x v="153"/>
    <x v="204"/>
    <n v="36992"/>
  </r>
  <r>
    <x v="2"/>
    <x v="199"/>
    <x v="205"/>
    <n v="27014"/>
  </r>
  <r>
    <x v="13"/>
    <x v="214"/>
    <x v="205"/>
    <n v="17980"/>
  </r>
  <r>
    <x v="4"/>
    <x v="5"/>
    <x v="205"/>
    <n v="15218"/>
  </r>
  <r>
    <x v="5"/>
    <x v="6"/>
    <x v="205"/>
    <n v="21329"/>
  </r>
  <r>
    <x v="5"/>
    <x v="7"/>
    <x v="205"/>
    <n v="9758"/>
  </r>
  <r>
    <x v="12"/>
    <x v="92"/>
    <x v="205"/>
    <n v="13176"/>
  </r>
  <r>
    <x v="7"/>
    <x v="138"/>
    <x v="205"/>
    <n v="35076"/>
  </r>
  <r>
    <x v="8"/>
    <x v="131"/>
    <x v="205"/>
    <n v="37015"/>
  </r>
  <r>
    <x v="8"/>
    <x v="94"/>
    <x v="205"/>
    <n v="36387"/>
  </r>
  <r>
    <x v="8"/>
    <x v="82"/>
    <x v="205"/>
    <n v="41401"/>
  </r>
  <r>
    <x v="8"/>
    <x v="112"/>
    <x v="205"/>
    <n v="35914"/>
  </r>
  <r>
    <x v="8"/>
    <x v="59"/>
    <x v="205"/>
    <n v="39006"/>
  </r>
  <r>
    <x v="8"/>
    <x v="83"/>
    <x v="205"/>
    <n v="46827"/>
  </r>
  <r>
    <x v="8"/>
    <x v="84"/>
    <x v="205"/>
    <n v="29775"/>
  </r>
  <r>
    <x v="2"/>
    <x v="181"/>
    <x v="206"/>
    <n v="26632"/>
  </r>
  <r>
    <x v="2"/>
    <x v="140"/>
    <x v="206"/>
    <n v="38047"/>
  </r>
  <r>
    <x v="2"/>
    <x v="213"/>
    <x v="206"/>
    <n v="31640"/>
  </r>
  <r>
    <x v="2"/>
    <x v="19"/>
    <x v="206"/>
    <n v="32662"/>
  </r>
  <r>
    <x v="13"/>
    <x v="97"/>
    <x v="206"/>
    <n v="14739"/>
  </r>
  <r>
    <x v="11"/>
    <x v="126"/>
    <x v="206"/>
    <n v="18045"/>
  </r>
  <r>
    <x v="11"/>
    <x v="231"/>
    <x v="206"/>
    <n v="27163"/>
  </r>
  <r>
    <x v="9"/>
    <x v="168"/>
    <x v="206"/>
    <n v="7355"/>
  </r>
  <r>
    <x v="7"/>
    <x v="25"/>
    <x v="206"/>
    <n v="28438"/>
  </r>
  <r>
    <x v="8"/>
    <x v="154"/>
    <x v="206"/>
    <n v="50898"/>
  </r>
  <r>
    <x v="8"/>
    <x v="15"/>
    <x v="206"/>
    <n v="40639"/>
  </r>
  <r>
    <x v="8"/>
    <x v="59"/>
    <x v="206"/>
    <n v="31659"/>
  </r>
  <r>
    <x v="8"/>
    <x v="89"/>
    <x v="206"/>
    <n v="52847"/>
  </r>
  <r>
    <x v="13"/>
    <x v="191"/>
    <x v="207"/>
    <n v="14235"/>
  </r>
  <r>
    <x v="11"/>
    <x v="197"/>
    <x v="207"/>
    <n v="18232"/>
  </r>
  <r>
    <x v="9"/>
    <x v="20"/>
    <x v="207"/>
    <n v="23353"/>
  </r>
  <r>
    <x v="5"/>
    <x v="215"/>
    <x v="207"/>
    <n v="25028"/>
  </r>
  <r>
    <x v="12"/>
    <x v="166"/>
    <x v="207"/>
    <n v="10480"/>
  </r>
  <r>
    <x v="6"/>
    <x v="11"/>
    <x v="207"/>
    <n v="27005"/>
  </r>
  <r>
    <x v="7"/>
    <x v="119"/>
    <x v="207"/>
    <n v="30153"/>
  </r>
  <r>
    <x v="7"/>
    <x v="236"/>
    <x v="207"/>
    <n v="38425"/>
  </r>
  <r>
    <x v="8"/>
    <x v="30"/>
    <x v="207"/>
    <n v="46242"/>
  </r>
  <r>
    <x v="8"/>
    <x v="138"/>
    <x v="207"/>
    <n v="30723"/>
  </r>
  <r>
    <x v="2"/>
    <x v="232"/>
    <x v="208"/>
    <n v="46563"/>
  </r>
  <r>
    <x v="11"/>
    <x v="174"/>
    <x v="208"/>
    <n v="5200"/>
  </r>
  <r>
    <x v="10"/>
    <x v="21"/>
    <x v="208"/>
    <n v="13702"/>
  </r>
  <r>
    <x v="6"/>
    <x v="187"/>
    <x v="208"/>
    <n v="29108"/>
  </r>
  <r>
    <x v="7"/>
    <x v="178"/>
    <x v="208"/>
    <n v="32202"/>
  </r>
  <r>
    <x v="7"/>
    <x v="38"/>
    <x v="208"/>
    <n v="33942"/>
  </r>
  <r>
    <x v="8"/>
    <x v="30"/>
    <x v="208"/>
    <n v="35145"/>
  </r>
  <r>
    <x v="8"/>
    <x v="143"/>
    <x v="208"/>
    <n v="38534"/>
  </r>
  <r>
    <x v="8"/>
    <x v="89"/>
    <x v="208"/>
    <n v="46012"/>
  </r>
  <r>
    <x v="0"/>
    <x v="16"/>
    <x v="209"/>
    <n v="19325"/>
  </r>
  <r>
    <x v="2"/>
    <x v="215"/>
    <x v="209"/>
    <n v="27686"/>
  </r>
  <r>
    <x v="2"/>
    <x v="143"/>
    <x v="209"/>
    <n v="40833"/>
  </r>
  <r>
    <x v="9"/>
    <x v="147"/>
    <x v="209"/>
    <n v="20473"/>
  </r>
  <r>
    <x v="6"/>
    <x v="65"/>
    <x v="209"/>
    <n v="34698"/>
  </r>
  <r>
    <x v="6"/>
    <x v="2"/>
    <x v="209"/>
    <n v="17206"/>
  </r>
  <r>
    <x v="6"/>
    <x v="229"/>
    <x v="209"/>
    <n v="34464"/>
  </r>
  <r>
    <x v="7"/>
    <x v="37"/>
    <x v="209"/>
    <n v="36820"/>
  </r>
  <r>
    <x v="7"/>
    <x v="46"/>
    <x v="209"/>
    <n v="41594"/>
  </r>
  <r>
    <x v="7"/>
    <x v="80"/>
    <x v="209"/>
    <n v="24942"/>
  </r>
  <r>
    <x v="8"/>
    <x v="30"/>
    <x v="209"/>
    <n v="48378"/>
  </r>
  <r>
    <x v="8"/>
    <x v="66"/>
    <x v="209"/>
    <n v="42549"/>
  </r>
  <r>
    <x v="8"/>
    <x v="131"/>
    <x v="209"/>
    <n v="48149"/>
  </r>
  <r>
    <x v="8"/>
    <x v="128"/>
    <x v="209"/>
    <n v="36886"/>
  </r>
  <r>
    <x v="8"/>
    <x v="118"/>
    <x v="209"/>
    <n v="44930"/>
  </r>
  <r>
    <x v="8"/>
    <x v="58"/>
    <x v="209"/>
    <n v="44891"/>
  </r>
  <r>
    <x v="8"/>
    <x v="144"/>
    <x v="209"/>
    <n v="41165"/>
  </r>
  <r>
    <x v="2"/>
    <x v="222"/>
    <x v="210"/>
    <n v="23543"/>
  </r>
  <r>
    <x v="4"/>
    <x v="206"/>
    <x v="210"/>
    <n v="14489"/>
  </r>
  <r>
    <x v="5"/>
    <x v="133"/>
    <x v="210"/>
    <n v="20426"/>
  </r>
  <r>
    <x v="5"/>
    <x v="165"/>
    <x v="210"/>
    <n v="39633"/>
  </r>
  <r>
    <x v="12"/>
    <x v="35"/>
    <x v="210"/>
    <n v="15422"/>
  </r>
  <r>
    <x v="19"/>
    <x v="200"/>
    <x v="210"/>
    <n v="12880"/>
  </r>
  <r>
    <x v="7"/>
    <x v="53"/>
    <x v="210"/>
    <n v="15928"/>
  </r>
  <r>
    <x v="8"/>
    <x v="131"/>
    <x v="210"/>
    <n v="47677"/>
  </r>
  <r>
    <x v="8"/>
    <x v="74"/>
    <x v="210"/>
    <n v="26088"/>
  </r>
  <r>
    <x v="8"/>
    <x v="129"/>
    <x v="210"/>
    <n v="41598"/>
  </r>
  <r>
    <x v="8"/>
    <x v="102"/>
    <x v="210"/>
    <n v="34466"/>
  </r>
  <r>
    <x v="8"/>
    <x v="15"/>
    <x v="210"/>
    <n v="43750"/>
  </r>
  <r>
    <x v="8"/>
    <x v="144"/>
    <x v="210"/>
    <n v="40783"/>
  </r>
  <r>
    <x v="8"/>
    <x v="3"/>
    <x v="210"/>
    <n v="48023"/>
  </r>
  <r>
    <x v="4"/>
    <x v="173"/>
    <x v="211"/>
    <n v="16562"/>
  </r>
  <r>
    <x v="11"/>
    <x v="204"/>
    <x v="211"/>
    <n v="5863"/>
  </r>
  <r>
    <x v="9"/>
    <x v="63"/>
    <x v="211"/>
    <n v="24323"/>
  </r>
  <r>
    <x v="12"/>
    <x v="109"/>
    <x v="211"/>
    <n v="12337"/>
  </r>
  <r>
    <x v="8"/>
    <x v="30"/>
    <x v="211"/>
    <n v="31735"/>
  </r>
  <r>
    <x v="8"/>
    <x v="154"/>
    <x v="211"/>
    <n v="47426"/>
  </r>
  <r>
    <x v="8"/>
    <x v="102"/>
    <x v="211"/>
    <n v="23444"/>
  </r>
  <r>
    <x v="8"/>
    <x v="29"/>
    <x v="211"/>
    <n v="35421"/>
  </r>
  <r>
    <x v="8"/>
    <x v="103"/>
    <x v="211"/>
    <n v="29166"/>
  </r>
  <r>
    <x v="0"/>
    <x v="218"/>
    <x v="212"/>
    <n v="16166"/>
  </r>
  <r>
    <x v="2"/>
    <x v="90"/>
    <x v="212"/>
    <n v="24214"/>
  </r>
  <r>
    <x v="13"/>
    <x v="69"/>
    <x v="212"/>
    <n v="5200"/>
  </r>
  <r>
    <x v="15"/>
    <x v="205"/>
    <x v="212"/>
    <n v="14956"/>
  </r>
  <r>
    <x v="12"/>
    <x v="177"/>
    <x v="212"/>
    <n v="18297"/>
  </r>
  <r>
    <x v="6"/>
    <x v="221"/>
    <x v="212"/>
    <n v="35001"/>
  </r>
  <r>
    <x v="7"/>
    <x v="222"/>
    <x v="212"/>
    <n v="26237"/>
  </r>
  <r>
    <x v="7"/>
    <x v="156"/>
    <x v="212"/>
    <n v="35189"/>
  </r>
  <r>
    <x v="7"/>
    <x v="53"/>
    <x v="212"/>
    <n v="30510"/>
  </r>
  <r>
    <x v="7"/>
    <x v="71"/>
    <x v="212"/>
    <n v="37046"/>
  </r>
  <r>
    <x v="7"/>
    <x v="78"/>
    <x v="212"/>
    <n v="29525"/>
  </r>
  <r>
    <x v="8"/>
    <x v="15"/>
    <x v="212"/>
    <n v="38874"/>
  </r>
  <r>
    <x v="8"/>
    <x v="194"/>
    <x v="212"/>
    <n v="30026"/>
  </r>
  <r>
    <x v="8"/>
    <x v="195"/>
    <x v="212"/>
    <n v="51246"/>
  </r>
  <r>
    <x v="8"/>
    <x v="59"/>
    <x v="212"/>
    <n v="35282"/>
  </r>
  <r>
    <x v="3"/>
    <x v="43"/>
    <x v="213"/>
    <n v="5200"/>
  </r>
  <r>
    <x v="3"/>
    <x v="208"/>
    <x v="213"/>
    <n v="27270"/>
  </r>
  <r>
    <x v="11"/>
    <x v="174"/>
    <x v="213"/>
    <n v="13051"/>
  </r>
  <r>
    <x v="6"/>
    <x v="210"/>
    <x v="213"/>
    <n v="36158"/>
  </r>
  <r>
    <x v="6"/>
    <x v="152"/>
    <x v="213"/>
    <n v="26662"/>
  </r>
  <r>
    <x v="6"/>
    <x v="236"/>
    <x v="213"/>
    <n v="30263"/>
  </r>
  <r>
    <x v="6"/>
    <x v="77"/>
    <x v="213"/>
    <n v="34655"/>
  </r>
  <r>
    <x v="7"/>
    <x v="12"/>
    <x v="213"/>
    <n v="40491"/>
  </r>
  <r>
    <x v="7"/>
    <x v="38"/>
    <x v="213"/>
    <n v="43734"/>
  </r>
  <r>
    <x v="7"/>
    <x v="213"/>
    <x v="213"/>
    <n v="21498"/>
  </r>
  <r>
    <x v="8"/>
    <x v="128"/>
    <x v="213"/>
    <n v="44058"/>
  </r>
  <r>
    <x v="8"/>
    <x v="129"/>
    <x v="213"/>
    <n v="39149"/>
  </r>
  <r>
    <x v="8"/>
    <x v="113"/>
    <x v="213"/>
    <n v="43168"/>
  </r>
  <r>
    <x v="8"/>
    <x v="120"/>
    <x v="213"/>
    <n v="38050"/>
  </r>
  <r>
    <x v="4"/>
    <x v="206"/>
    <x v="214"/>
    <n v="15099"/>
  </r>
  <r>
    <x v="10"/>
    <x v="21"/>
    <x v="214"/>
    <n v="14107"/>
  </r>
  <r>
    <x v="5"/>
    <x v="141"/>
    <x v="214"/>
    <n v="18896"/>
  </r>
  <r>
    <x v="12"/>
    <x v="35"/>
    <x v="214"/>
    <n v="16309"/>
  </r>
  <r>
    <x v="7"/>
    <x v="222"/>
    <x v="214"/>
    <n v="26972"/>
  </r>
  <r>
    <x v="7"/>
    <x v="88"/>
    <x v="214"/>
    <n v="24008"/>
  </r>
  <r>
    <x v="8"/>
    <x v="30"/>
    <x v="214"/>
    <n v="27664"/>
  </r>
  <r>
    <x v="8"/>
    <x v="47"/>
    <x v="214"/>
    <n v="42637"/>
  </r>
  <r>
    <x v="8"/>
    <x v="143"/>
    <x v="214"/>
    <n v="31227"/>
  </r>
  <r>
    <x v="8"/>
    <x v="135"/>
    <x v="214"/>
    <n v="49447"/>
  </r>
  <r>
    <x v="0"/>
    <x v="104"/>
    <x v="215"/>
    <n v="16560"/>
  </r>
  <r>
    <x v="2"/>
    <x v="56"/>
    <x v="215"/>
    <n v="23772"/>
  </r>
  <r>
    <x v="2"/>
    <x v="233"/>
    <x v="215"/>
    <n v="41972"/>
  </r>
  <r>
    <x v="5"/>
    <x v="8"/>
    <x v="215"/>
    <n v="6328"/>
  </r>
  <r>
    <x v="12"/>
    <x v="92"/>
    <x v="215"/>
    <n v="9811"/>
  </r>
  <r>
    <x v="7"/>
    <x v="230"/>
    <x v="215"/>
    <n v="36758"/>
  </r>
  <r>
    <x v="7"/>
    <x v="93"/>
    <x v="215"/>
    <n v="22700"/>
  </r>
  <r>
    <x v="8"/>
    <x v="82"/>
    <x v="215"/>
    <n v="49491"/>
  </r>
  <r>
    <x v="8"/>
    <x v="3"/>
    <x v="215"/>
    <n v="48096"/>
  </r>
  <r>
    <x v="8"/>
    <x v="120"/>
    <x v="215"/>
    <n v="48962"/>
  </r>
  <r>
    <x v="17"/>
    <x v="125"/>
    <x v="216"/>
    <n v="17070"/>
  </r>
  <r>
    <x v="2"/>
    <x v="56"/>
    <x v="216"/>
    <n v="26152"/>
  </r>
  <r>
    <x v="13"/>
    <x v="106"/>
    <x v="216"/>
    <n v="21849"/>
  </r>
  <r>
    <x v="9"/>
    <x v="168"/>
    <x v="216"/>
    <n v="13860"/>
  </r>
  <r>
    <x v="9"/>
    <x v="20"/>
    <x v="216"/>
    <n v="20140"/>
  </r>
  <r>
    <x v="6"/>
    <x v="187"/>
    <x v="216"/>
    <n v="22754"/>
  </r>
  <r>
    <x v="6"/>
    <x v="188"/>
    <x v="216"/>
    <n v="6086"/>
  </r>
  <r>
    <x v="7"/>
    <x v="37"/>
    <x v="216"/>
    <n v="25559"/>
  </r>
  <r>
    <x v="7"/>
    <x v="72"/>
    <x v="216"/>
    <n v="40224"/>
  </r>
  <r>
    <x v="7"/>
    <x v="38"/>
    <x v="216"/>
    <n v="43285"/>
  </r>
  <r>
    <x v="8"/>
    <x v="157"/>
    <x v="216"/>
    <n v="33663"/>
  </r>
  <r>
    <x v="8"/>
    <x v="194"/>
    <x v="216"/>
    <n v="31246"/>
  </r>
  <r>
    <x v="8"/>
    <x v="58"/>
    <x v="216"/>
    <n v="43974"/>
  </r>
  <r>
    <x v="8"/>
    <x v="58"/>
    <x v="216"/>
    <n v="58414"/>
  </r>
  <r>
    <x v="8"/>
    <x v="103"/>
    <x v="216"/>
    <n v="35072"/>
  </r>
  <r>
    <x v="8"/>
    <x v="153"/>
    <x v="216"/>
    <n v="38382"/>
  </r>
  <r>
    <x v="13"/>
    <x v="97"/>
    <x v="217"/>
    <n v="13610"/>
  </r>
  <r>
    <x v="14"/>
    <x v="48"/>
    <x v="217"/>
    <n v="12538"/>
  </r>
  <r>
    <x v="9"/>
    <x v="32"/>
    <x v="217"/>
    <n v="16308"/>
  </r>
  <r>
    <x v="10"/>
    <x v="70"/>
    <x v="217"/>
    <n v="12718"/>
  </r>
  <r>
    <x v="6"/>
    <x v="220"/>
    <x v="217"/>
    <n v="26636"/>
  </r>
  <r>
    <x v="7"/>
    <x v="71"/>
    <x v="217"/>
    <n v="32667"/>
  </r>
  <r>
    <x v="7"/>
    <x v="119"/>
    <x v="217"/>
    <n v="24100"/>
  </r>
  <r>
    <x v="8"/>
    <x v="66"/>
    <x v="217"/>
    <n v="46422"/>
  </r>
  <r>
    <x v="8"/>
    <x v="137"/>
    <x v="217"/>
    <n v="28584"/>
  </r>
  <r>
    <x v="8"/>
    <x v="113"/>
    <x v="217"/>
    <n v="39781"/>
  </r>
  <r>
    <x v="8"/>
    <x v="153"/>
    <x v="217"/>
    <n v="46275"/>
  </r>
  <r>
    <x v="13"/>
    <x v="85"/>
    <x v="218"/>
    <n v="29167"/>
  </r>
  <r>
    <x v="4"/>
    <x v="98"/>
    <x v="218"/>
    <n v="14337"/>
  </r>
  <r>
    <x v="7"/>
    <x v="72"/>
    <x v="218"/>
    <n v="49696"/>
  </r>
  <r>
    <x v="8"/>
    <x v="143"/>
    <x v="218"/>
    <n v="45396"/>
  </r>
  <r>
    <x v="8"/>
    <x v="150"/>
    <x v="218"/>
    <n v="43774"/>
  </r>
  <r>
    <x v="8"/>
    <x v="29"/>
    <x v="218"/>
    <n v="30828"/>
  </r>
  <r>
    <x v="8"/>
    <x v="3"/>
    <x v="218"/>
    <n v="39949"/>
  </r>
  <r>
    <x v="2"/>
    <x v="28"/>
    <x v="219"/>
    <n v="43870"/>
  </r>
  <r>
    <x v="14"/>
    <x v="101"/>
    <x v="219"/>
    <n v="15791"/>
  </r>
  <r>
    <x v="9"/>
    <x v="151"/>
    <x v="219"/>
    <n v="22749"/>
  </r>
  <r>
    <x v="5"/>
    <x v="169"/>
    <x v="219"/>
    <n v="24713"/>
  </r>
  <r>
    <x v="6"/>
    <x v="2"/>
    <x v="219"/>
    <n v="18472"/>
  </r>
  <r>
    <x v="6"/>
    <x v="24"/>
    <x v="219"/>
    <n v="12682"/>
  </r>
  <r>
    <x v="6"/>
    <x v="11"/>
    <x v="219"/>
    <n v="28142"/>
  </r>
  <r>
    <x v="7"/>
    <x v="178"/>
    <x v="219"/>
    <n v="30031"/>
  </r>
  <r>
    <x v="7"/>
    <x v="137"/>
    <x v="219"/>
    <n v="28978"/>
  </r>
  <r>
    <x v="8"/>
    <x v="89"/>
    <x v="219"/>
    <n v="47511"/>
  </r>
  <r>
    <x v="17"/>
    <x v="226"/>
    <x v="220"/>
    <n v="13153"/>
  </r>
  <r>
    <x v="2"/>
    <x v="224"/>
    <x v="220"/>
    <n v="7027"/>
  </r>
  <r>
    <x v="13"/>
    <x v="223"/>
    <x v="220"/>
    <n v="16498"/>
  </r>
  <r>
    <x v="13"/>
    <x v="159"/>
    <x v="220"/>
    <n v="16682"/>
  </r>
  <r>
    <x v="11"/>
    <x v="197"/>
    <x v="220"/>
    <n v="18076"/>
  </r>
  <r>
    <x v="9"/>
    <x v="209"/>
    <x v="220"/>
    <n v="17420"/>
  </r>
  <r>
    <x v="5"/>
    <x v="64"/>
    <x v="220"/>
    <n v="22619"/>
  </r>
  <r>
    <x v="5"/>
    <x v="199"/>
    <x v="220"/>
    <n v="25249"/>
  </r>
  <r>
    <x v="7"/>
    <x v="79"/>
    <x v="220"/>
    <n v="29874"/>
  </r>
  <r>
    <x v="8"/>
    <x v="154"/>
    <x v="220"/>
    <n v="56572"/>
  </r>
  <r>
    <x v="8"/>
    <x v="94"/>
    <x v="220"/>
    <n v="34797"/>
  </r>
  <r>
    <x v="8"/>
    <x v="15"/>
    <x v="220"/>
    <n v="47826"/>
  </r>
  <r>
    <x v="8"/>
    <x v="150"/>
    <x v="220"/>
    <n v="40166"/>
  </r>
  <r>
    <x v="8"/>
    <x v="112"/>
    <x v="220"/>
    <n v="49538"/>
  </r>
  <r>
    <x v="8"/>
    <x v="67"/>
    <x v="220"/>
    <n v="34259"/>
  </r>
  <r>
    <x v="2"/>
    <x v="87"/>
    <x v="221"/>
    <n v="30337"/>
  </r>
  <r>
    <x v="2"/>
    <x v="95"/>
    <x v="221"/>
    <n v="44881"/>
  </r>
  <r>
    <x v="4"/>
    <x v="62"/>
    <x v="221"/>
    <n v="25566"/>
  </r>
  <r>
    <x v="9"/>
    <x v="219"/>
    <x v="221"/>
    <n v="18299"/>
  </r>
  <r>
    <x v="6"/>
    <x v="10"/>
    <x v="221"/>
    <n v="28337"/>
  </r>
  <r>
    <x v="6"/>
    <x v="213"/>
    <x v="221"/>
    <n v="33570"/>
  </r>
  <r>
    <x v="8"/>
    <x v="15"/>
    <x v="221"/>
    <n v="37961"/>
  </r>
  <r>
    <x v="8"/>
    <x v="144"/>
    <x v="221"/>
    <n v="27866"/>
  </r>
  <r>
    <x v="8"/>
    <x v="82"/>
    <x v="221"/>
    <n v="50603"/>
  </r>
  <r>
    <x v="0"/>
    <x v="126"/>
    <x v="222"/>
    <n v="21052"/>
  </r>
  <r>
    <x v="0"/>
    <x v="189"/>
    <x v="222"/>
    <n v="5200"/>
  </r>
  <r>
    <x v="2"/>
    <x v="171"/>
    <x v="222"/>
    <n v="36087"/>
  </r>
  <r>
    <x v="11"/>
    <x v="146"/>
    <x v="222"/>
    <n v="16086"/>
  </r>
  <r>
    <x v="18"/>
    <x v="163"/>
    <x v="222"/>
    <n v="26054"/>
  </r>
  <r>
    <x v="6"/>
    <x v="228"/>
    <x v="222"/>
    <n v="32767"/>
  </r>
  <r>
    <x v="7"/>
    <x v="222"/>
    <x v="222"/>
    <n v="30241"/>
  </r>
  <r>
    <x v="7"/>
    <x v="156"/>
    <x v="222"/>
    <n v="34453"/>
  </r>
  <r>
    <x v="8"/>
    <x v="102"/>
    <x v="222"/>
    <n v="29134"/>
  </r>
  <r>
    <x v="11"/>
    <x v="203"/>
    <x v="223"/>
    <n v="22338"/>
  </r>
  <r>
    <x v="9"/>
    <x v="49"/>
    <x v="223"/>
    <n v="21045"/>
  </r>
  <r>
    <x v="10"/>
    <x v="175"/>
    <x v="223"/>
    <n v="14549"/>
  </r>
  <r>
    <x v="7"/>
    <x v="105"/>
    <x v="223"/>
    <n v="12060"/>
  </r>
  <r>
    <x v="7"/>
    <x v="119"/>
    <x v="223"/>
    <n v="32646"/>
  </r>
  <r>
    <x v="8"/>
    <x v="29"/>
    <x v="223"/>
    <n v="47370"/>
  </r>
  <r>
    <x v="8"/>
    <x v="135"/>
    <x v="223"/>
    <n v="48900"/>
  </r>
  <r>
    <x v="8"/>
    <x v="84"/>
    <x v="223"/>
    <n v="39754"/>
  </r>
  <r>
    <x v="8"/>
    <x v="153"/>
    <x v="223"/>
    <n v="50254"/>
  </r>
  <r>
    <x v="8"/>
    <x v="153"/>
    <x v="223"/>
    <n v="40283"/>
  </r>
  <r>
    <x v="6"/>
    <x v="216"/>
    <x v="224"/>
    <n v="21446"/>
  </r>
  <r>
    <x v="6"/>
    <x v="52"/>
    <x v="224"/>
    <n v="36312"/>
  </r>
  <r>
    <x v="6"/>
    <x v="65"/>
    <x v="224"/>
    <n v="32717"/>
  </r>
  <r>
    <x v="6"/>
    <x v="26"/>
    <x v="224"/>
    <n v="39900"/>
  </r>
  <r>
    <x v="7"/>
    <x v="236"/>
    <x v="224"/>
    <n v="31862"/>
  </r>
  <r>
    <x v="8"/>
    <x v="55"/>
    <x v="224"/>
    <n v="42272"/>
  </r>
  <r>
    <x v="8"/>
    <x v="47"/>
    <x v="224"/>
    <n v="40277"/>
  </r>
  <r>
    <x v="8"/>
    <x v="131"/>
    <x v="224"/>
    <n v="48259"/>
  </r>
  <r>
    <x v="8"/>
    <x v="102"/>
    <x v="224"/>
    <n v="25534"/>
  </r>
  <r>
    <x v="8"/>
    <x v="81"/>
    <x v="224"/>
    <n v="48635"/>
  </r>
  <r>
    <x v="2"/>
    <x v="161"/>
    <x v="225"/>
    <n v="25436"/>
  </r>
  <r>
    <x v="2"/>
    <x v="19"/>
    <x v="225"/>
    <n v="34841"/>
  </r>
  <r>
    <x v="13"/>
    <x v="214"/>
    <x v="225"/>
    <n v="17497"/>
  </r>
  <r>
    <x v="4"/>
    <x v="96"/>
    <x v="225"/>
    <n v="13781"/>
  </r>
  <r>
    <x v="16"/>
    <x v="176"/>
    <x v="225"/>
    <n v="5200"/>
  </r>
  <r>
    <x v="14"/>
    <x v="100"/>
    <x v="225"/>
    <n v="13588"/>
  </r>
  <r>
    <x v="9"/>
    <x v="91"/>
    <x v="225"/>
    <n v="19338"/>
  </r>
  <r>
    <x v="5"/>
    <x v="215"/>
    <x v="225"/>
    <n v="11897"/>
  </r>
  <r>
    <x v="7"/>
    <x v="22"/>
    <x v="225"/>
    <n v="38097"/>
  </r>
  <r>
    <x v="7"/>
    <x v="54"/>
    <x v="225"/>
    <n v="53880"/>
  </r>
  <r>
    <x v="7"/>
    <x v="124"/>
    <x v="225"/>
    <n v="28240"/>
  </r>
  <r>
    <x v="7"/>
    <x v="12"/>
    <x v="225"/>
    <n v="26703"/>
  </r>
  <r>
    <x v="7"/>
    <x v="26"/>
    <x v="225"/>
    <n v="36438"/>
  </r>
  <r>
    <x v="7"/>
    <x v="46"/>
    <x v="225"/>
    <n v="39141"/>
  </r>
  <r>
    <x v="8"/>
    <x v="39"/>
    <x v="225"/>
    <n v="40358"/>
  </r>
  <r>
    <x v="8"/>
    <x v="14"/>
    <x v="225"/>
    <n v="43702"/>
  </r>
  <r>
    <x v="2"/>
    <x v="18"/>
    <x v="226"/>
    <n v="33842"/>
  </r>
  <r>
    <x v="2"/>
    <x v="160"/>
    <x v="226"/>
    <n v="35682"/>
  </r>
  <r>
    <x v="13"/>
    <x v="114"/>
    <x v="226"/>
    <n v="14210"/>
  </r>
  <r>
    <x v="4"/>
    <x v="192"/>
    <x v="226"/>
    <n v="14462"/>
  </r>
  <r>
    <x v="9"/>
    <x v="234"/>
    <x v="226"/>
    <n v="22262"/>
  </r>
  <r>
    <x v="12"/>
    <x v="45"/>
    <x v="226"/>
    <n v="5200"/>
  </r>
  <r>
    <x v="7"/>
    <x v="129"/>
    <x v="226"/>
    <n v="52969"/>
  </r>
  <r>
    <x v="7"/>
    <x v="54"/>
    <x v="226"/>
    <n v="38734"/>
  </r>
  <r>
    <x v="8"/>
    <x v="157"/>
    <x v="226"/>
    <n v="35767"/>
  </r>
  <r>
    <x v="8"/>
    <x v="28"/>
    <x v="226"/>
    <n v="39648"/>
  </r>
  <r>
    <x v="8"/>
    <x v="40"/>
    <x v="226"/>
    <n v="48359"/>
  </r>
  <r>
    <x v="8"/>
    <x v="194"/>
    <x v="226"/>
    <n v="38595"/>
  </r>
  <r>
    <x v="2"/>
    <x v="140"/>
    <x v="227"/>
    <n v="38439"/>
  </r>
  <r>
    <x v="2"/>
    <x v="90"/>
    <x v="227"/>
    <n v="30674"/>
  </r>
  <r>
    <x v="2"/>
    <x v="162"/>
    <x v="227"/>
    <n v="50413"/>
  </r>
  <r>
    <x v="9"/>
    <x v="198"/>
    <x v="227"/>
    <n v="19368"/>
  </r>
  <r>
    <x v="9"/>
    <x v="86"/>
    <x v="227"/>
    <n v="6757"/>
  </r>
  <r>
    <x v="5"/>
    <x v="7"/>
    <x v="227"/>
    <n v="45170"/>
  </r>
  <r>
    <x v="6"/>
    <x v="222"/>
    <x v="227"/>
    <n v="30476"/>
  </r>
  <r>
    <x v="7"/>
    <x v="170"/>
    <x v="227"/>
    <n v="41935"/>
  </r>
  <r>
    <x v="7"/>
    <x v="201"/>
    <x v="227"/>
    <n v="31967"/>
  </r>
  <r>
    <x v="7"/>
    <x v="179"/>
    <x v="227"/>
    <n v="18798"/>
  </r>
  <r>
    <x v="7"/>
    <x v="93"/>
    <x v="227"/>
    <n v="30425"/>
  </r>
  <r>
    <x v="8"/>
    <x v="47"/>
    <x v="227"/>
    <n v="35945"/>
  </r>
  <r>
    <x v="8"/>
    <x v="29"/>
    <x v="227"/>
    <n v="47080"/>
  </r>
  <r>
    <x v="2"/>
    <x v="161"/>
    <x v="228"/>
    <n v="25926"/>
  </r>
  <r>
    <x v="13"/>
    <x v="172"/>
    <x v="228"/>
    <n v="17227"/>
  </r>
  <r>
    <x v="16"/>
    <x v="99"/>
    <x v="228"/>
    <n v="15022"/>
  </r>
  <r>
    <x v="9"/>
    <x v="63"/>
    <x v="228"/>
    <n v="21706"/>
  </r>
  <r>
    <x v="5"/>
    <x v="51"/>
    <x v="228"/>
    <n v="40269"/>
  </r>
  <r>
    <x v="5"/>
    <x v="122"/>
    <x v="228"/>
    <n v="24329"/>
  </r>
  <r>
    <x v="12"/>
    <x v="109"/>
    <x v="228"/>
    <n v="12055"/>
  </r>
  <r>
    <x v="7"/>
    <x v="217"/>
    <x v="228"/>
    <n v="16132"/>
  </r>
  <r>
    <x v="7"/>
    <x v="73"/>
    <x v="228"/>
    <n v="54273"/>
  </r>
  <r>
    <x v="8"/>
    <x v="66"/>
    <x v="228"/>
    <n v="40141"/>
  </r>
  <r>
    <x v="8"/>
    <x v="144"/>
    <x v="228"/>
    <n v="41070"/>
  </r>
  <r>
    <x v="8"/>
    <x v="103"/>
    <x v="228"/>
    <n v="41740"/>
  </r>
  <r>
    <x v="8"/>
    <x v="59"/>
    <x v="228"/>
    <n v="36557"/>
  </r>
  <r>
    <x v="8"/>
    <x v="84"/>
    <x v="228"/>
    <n v="43757"/>
  </r>
  <r>
    <x v="8"/>
    <x v="84"/>
    <x v="228"/>
    <n v="33662"/>
  </r>
  <r>
    <x v="2"/>
    <x v="181"/>
    <x v="229"/>
    <n v="32523"/>
  </r>
  <r>
    <x v="2"/>
    <x v="136"/>
    <x v="229"/>
    <n v="23318"/>
  </r>
  <r>
    <x v="3"/>
    <x v="155"/>
    <x v="229"/>
    <n v="12005"/>
  </r>
  <r>
    <x v="7"/>
    <x v="87"/>
    <x v="229"/>
    <n v="33717"/>
  </r>
  <r>
    <x v="7"/>
    <x v="37"/>
    <x v="229"/>
    <n v="35371"/>
  </r>
  <r>
    <x v="7"/>
    <x v="78"/>
    <x v="229"/>
    <n v="26742"/>
  </r>
  <r>
    <x v="7"/>
    <x v="80"/>
    <x v="229"/>
    <n v="25344"/>
  </r>
  <r>
    <x v="8"/>
    <x v="102"/>
    <x v="229"/>
    <n v="37945"/>
  </r>
  <r>
    <x v="8"/>
    <x v="81"/>
    <x v="229"/>
    <n v="35129"/>
  </r>
  <r>
    <x v="8"/>
    <x v="138"/>
    <x v="229"/>
    <n v="27797"/>
  </r>
  <r>
    <x v="2"/>
    <x v="18"/>
    <x v="230"/>
    <n v="23010"/>
  </r>
  <r>
    <x v="2"/>
    <x v="183"/>
    <x v="230"/>
    <n v="35492"/>
  </r>
  <r>
    <x v="5"/>
    <x v="6"/>
    <x v="230"/>
    <n v="22046"/>
  </r>
  <r>
    <x v="5"/>
    <x v="186"/>
    <x v="230"/>
    <n v="22772"/>
  </r>
  <r>
    <x v="12"/>
    <x v="207"/>
    <x v="230"/>
    <n v="15309"/>
  </r>
  <r>
    <x v="7"/>
    <x v="236"/>
    <x v="230"/>
    <n v="44049"/>
  </r>
  <r>
    <x v="7"/>
    <x v="46"/>
    <x v="230"/>
    <n v="36888"/>
  </r>
  <r>
    <x v="8"/>
    <x v="27"/>
    <x v="230"/>
    <n v="56337"/>
  </r>
  <r>
    <x v="8"/>
    <x v="128"/>
    <x v="230"/>
    <n v="41573"/>
  </r>
  <r>
    <x v="8"/>
    <x v="40"/>
    <x v="230"/>
    <n v="40361"/>
  </r>
  <r>
    <x v="8"/>
    <x v="130"/>
    <x v="230"/>
    <n v="24895"/>
  </r>
  <r>
    <x v="8"/>
    <x v="83"/>
    <x v="230"/>
    <n v="33496"/>
  </r>
  <r>
    <x v="8"/>
    <x v="3"/>
    <x v="230"/>
    <n v="51064"/>
  </r>
  <r>
    <x v="0"/>
    <x v="212"/>
    <x v="231"/>
    <n v="10808"/>
  </r>
  <r>
    <x v="2"/>
    <x v="190"/>
    <x v="231"/>
    <n v="31537"/>
  </r>
  <r>
    <x v="13"/>
    <x v="202"/>
    <x v="231"/>
    <n v="18965"/>
  </r>
  <r>
    <x v="13"/>
    <x v="121"/>
    <x v="231"/>
    <n v="17160"/>
  </r>
  <r>
    <x v="13"/>
    <x v="116"/>
    <x v="231"/>
    <n v="18631"/>
  </r>
  <r>
    <x v="6"/>
    <x v="235"/>
    <x v="231"/>
    <n v="29319"/>
  </r>
  <r>
    <x v="7"/>
    <x v="201"/>
    <x v="231"/>
    <n v="27131"/>
  </r>
  <r>
    <x v="8"/>
    <x v="57"/>
    <x v="231"/>
    <n v="42732"/>
  </r>
  <r>
    <x v="2"/>
    <x v="18"/>
    <x v="232"/>
    <n v="28376"/>
  </r>
  <r>
    <x v="2"/>
    <x v="196"/>
    <x v="232"/>
    <n v="24278"/>
  </r>
  <r>
    <x v="5"/>
    <x v="148"/>
    <x v="232"/>
    <n v="9342"/>
  </r>
  <r>
    <x v="6"/>
    <x v="117"/>
    <x v="232"/>
    <n v="31821"/>
  </r>
  <r>
    <x v="7"/>
    <x v="119"/>
    <x v="232"/>
    <n v="31550"/>
  </r>
  <r>
    <x v="7"/>
    <x v="211"/>
    <x v="232"/>
    <n v="30230"/>
  </r>
  <r>
    <x v="8"/>
    <x v="170"/>
    <x v="232"/>
    <n v="51048"/>
  </r>
  <r>
    <x v="8"/>
    <x v="94"/>
    <x v="232"/>
    <n v="32029"/>
  </r>
  <r>
    <x v="11"/>
    <x v="166"/>
    <x v="233"/>
    <n v="12103"/>
  </r>
  <r>
    <x v="5"/>
    <x v="127"/>
    <x v="233"/>
    <n v="27286"/>
  </r>
  <r>
    <x v="15"/>
    <x v="76"/>
    <x v="233"/>
    <n v="13989"/>
  </r>
  <r>
    <x v="19"/>
    <x v="200"/>
    <x v="233"/>
    <n v="13375"/>
  </r>
  <r>
    <x v="7"/>
    <x v="110"/>
    <x v="233"/>
    <n v="10793"/>
  </r>
  <r>
    <x v="7"/>
    <x v="22"/>
    <x v="233"/>
    <n v="31161"/>
  </r>
  <r>
    <x v="7"/>
    <x v="119"/>
    <x v="233"/>
    <n v="32388"/>
  </r>
  <r>
    <x v="7"/>
    <x v="180"/>
    <x v="233"/>
    <n v="42055"/>
  </r>
  <r>
    <x v="8"/>
    <x v="139"/>
    <x v="233"/>
    <n v="28627"/>
  </r>
  <r>
    <x v="8"/>
    <x v="74"/>
    <x v="233"/>
    <n v="34168"/>
  </r>
  <r>
    <x v="8"/>
    <x v="144"/>
    <x v="233"/>
    <n v="39096"/>
  </r>
  <r>
    <x v="17"/>
    <x v="158"/>
    <x v="234"/>
    <n v="19491"/>
  </r>
  <r>
    <x v="2"/>
    <x v="75"/>
    <x v="234"/>
    <n v="15218"/>
  </r>
  <r>
    <x v="3"/>
    <x v="225"/>
    <x v="234"/>
    <n v="22349"/>
  </r>
  <r>
    <x v="6"/>
    <x v="9"/>
    <x v="234"/>
    <n v="25290"/>
  </r>
  <r>
    <x v="6"/>
    <x v="13"/>
    <x v="234"/>
    <n v="48292"/>
  </r>
  <r>
    <x v="7"/>
    <x v="111"/>
    <x v="234"/>
    <n v="37981"/>
  </r>
  <r>
    <x v="8"/>
    <x v="131"/>
    <x v="234"/>
    <n v="36905"/>
  </r>
  <r>
    <x v="8"/>
    <x v="57"/>
    <x v="234"/>
    <n v="32863"/>
  </r>
  <r>
    <x v="8"/>
    <x v="137"/>
    <x v="234"/>
    <n v="39784"/>
  </r>
  <r>
    <x v="8"/>
    <x v="41"/>
    <x v="234"/>
    <n v="48348"/>
  </r>
  <r>
    <x v="0"/>
    <x v="16"/>
    <x v="235"/>
    <n v="18686"/>
  </r>
  <r>
    <x v="2"/>
    <x v="90"/>
    <x v="235"/>
    <n v="24129"/>
  </r>
  <r>
    <x v="2"/>
    <x v="113"/>
    <x v="235"/>
    <n v="44612"/>
  </r>
  <r>
    <x v="2"/>
    <x v="132"/>
    <x v="235"/>
    <n v="29977"/>
  </r>
  <r>
    <x v="11"/>
    <x v="17"/>
    <x v="235"/>
    <n v="18419"/>
  </r>
  <r>
    <x v="11"/>
    <x v="204"/>
    <x v="235"/>
    <n v="24617"/>
  </r>
  <r>
    <x v="9"/>
    <x v="34"/>
    <x v="235"/>
    <n v="23141"/>
  </r>
  <r>
    <x v="9"/>
    <x v="115"/>
    <x v="235"/>
    <n v="21455"/>
  </r>
  <r>
    <x v="5"/>
    <x v="164"/>
    <x v="235"/>
    <n v="32061"/>
  </r>
  <r>
    <x v="5"/>
    <x v="108"/>
    <x v="235"/>
    <n v="27126"/>
  </r>
  <r>
    <x v="7"/>
    <x v="178"/>
    <x v="235"/>
    <n v="30126"/>
  </r>
  <r>
    <x v="7"/>
    <x v="180"/>
    <x v="235"/>
    <n v="42774"/>
  </r>
  <r>
    <x v="8"/>
    <x v="81"/>
    <x v="235"/>
    <n v="44941"/>
  </r>
  <r>
    <x v="8"/>
    <x v="143"/>
    <x v="235"/>
    <n v="39527"/>
  </r>
  <r>
    <x v="8"/>
    <x v="112"/>
    <x v="235"/>
    <n v="34692"/>
  </r>
  <r>
    <x v="2"/>
    <x v="149"/>
    <x v="236"/>
    <n v="34737"/>
  </r>
  <r>
    <x v="13"/>
    <x v="68"/>
    <x v="236"/>
    <n v="17634"/>
  </r>
  <r>
    <x v="4"/>
    <x v="5"/>
    <x v="236"/>
    <n v="18125"/>
  </r>
  <r>
    <x v="6"/>
    <x v="36"/>
    <x v="236"/>
    <n v="27467"/>
  </r>
  <r>
    <x v="7"/>
    <x v="37"/>
    <x v="236"/>
    <n v="34257"/>
  </r>
  <r>
    <x v="7"/>
    <x v="25"/>
    <x v="236"/>
    <n v="56919"/>
  </r>
  <r>
    <x v="8"/>
    <x v="55"/>
    <x v="236"/>
    <n v="41030"/>
  </r>
  <r>
    <x v="8"/>
    <x v="131"/>
    <x v="236"/>
    <n v="37472"/>
  </r>
  <r>
    <x v="8"/>
    <x v="29"/>
    <x v="236"/>
    <n v="32820"/>
  </r>
  <r>
    <x v="8"/>
    <x v="137"/>
    <x v="236"/>
    <n v="35953"/>
  </r>
  <r>
    <x v="8"/>
    <x v="59"/>
    <x v="236"/>
    <n v="25649"/>
  </r>
  <r>
    <x v="2"/>
    <x v="182"/>
    <x v="237"/>
    <n v="28579"/>
  </r>
  <r>
    <x v="2"/>
    <x v="232"/>
    <x v="237"/>
    <n v="44170"/>
  </r>
  <r>
    <x v="4"/>
    <x v="173"/>
    <x v="237"/>
    <n v="16823"/>
  </r>
  <r>
    <x v="14"/>
    <x v="4"/>
    <x v="237"/>
    <n v="15662"/>
  </r>
  <r>
    <x v="9"/>
    <x v="219"/>
    <x v="237"/>
    <n v="23356"/>
  </r>
  <r>
    <x v="5"/>
    <x v="133"/>
    <x v="237"/>
    <n v="15612"/>
  </r>
  <r>
    <x v="5"/>
    <x v="123"/>
    <x v="237"/>
    <n v="23240"/>
  </r>
  <r>
    <x v="6"/>
    <x v="51"/>
    <x v="237"/>
    <n v="33749"/>
  </r>
  <r>
    <x v="7"/>
    <x v="124"/>
    <x v="237"/>
    <n v="30557"/>
  </r>
  <r>
    <x v="7"/>
    <x v="142"/>
    <x v="237"/>
    <n v="41546"/>
  </r>
  <r>
    <x v="7"/>
    <x v="142"/>
    <x v="237"/>
    <n v="28950"/>
  </r>
  <r>
    <x v="8"/>
    <x v="154"/>
    <x v="237"/>
    <n v="44256"/>
  </r>
  <r>
    <x v="8"/>
    <x v="74"/>
    <x v="237"/>
    <n v="38419"/>
  </r>
  <r>
    <x v="8"/>
    <x v="194"/>
    <x v="237"/>
    <n v="39930"/>
  </r>
  <r>
    <x v="8"/>
    <x v="29"/>
    <x v="237"/>
    <n v="32565"/>
  </r>
  <r>
    <x v="2"/>
    <x v="139"/>
    <x v="238"/>
    <n v="36687"/>
  </r>
  <r>
    <x v="2"/>
    <x v="60"/>
    <x v="238"/>
    <n v="40428"/>
  </r>
  <r>
    <x v="2"/>
    <x v="193"/>
    <x v="238"/>
    <n v="42033"/>
  </r>
  <r>
    <x v="7"/>
    <x v="47"/>
    <x v="238"/>
    <n v="31608"/>
  </r>
  <r>
    <x v="7"/>
    <x v="37"/>
    <x v="238"/>
    <n v="22980"/>
  </r>
  <r>
    <x v="7"/>
    <x v="194"/>
    <x v="238"/>
    <n v="40167"/>
  </r>
  <r>
    <x v="7"/>
    <x v="80"/>
    <x v="238"/>
    <n v="27003"/>
  </r>
  <r>
    <x v="8"/>
    <x v="81"/>
    <x v="238"/>
    <n v="52289"/>
  </r>
  <r>
    <x v="8"/>
    <x v="40"/>
    <x v="238"/>
    <n v="44172"/>
  </r>
  <r>
    <x v="8"/>
    <x v="137"/>
    <x v="238"/>
    <n v="30601"/>
  </r>
  <r>
    <x v="8"/>
    <x v="41"/>
    <x v="238"/>
    <n v="63372"/>
  </r>
  <r>
    <x v="2"/>
    <x v="213"/>
    <x v="239"/>
    <n v="22826"/>
  </r>
  <r>
    <x v="3"/>
    <x v="42"/>
    <x v="239"/>
    <n v="15454"/>
  </r>
  <r>
    <x v="13"/>
    <x v="61"/>
    <x v="239"/>
    <n v="21777"/>
  </r>
  <r>
    <x v="9"/>
    <x v="107"/>
    <x v="239"/>
    <n v="13605"/>
  </r>
  <r>
    <x v="10"/>
    <x v="185"/>
    <x v="239"/>
    <n v="5200"/>
  </r>
  <r>
    <x v="5"/>
    <x v="50"/>
    <x v="239"/>
    <n v="15627"/>
  </r>
  <r>
    <x v="5"/>
    <x v="165"/>
    <x v="239"/>
    <n v="7999"/>
  </r>
  <r>
    <x v="6"/>
    <x v="23"/>
    <x v="239"/>
    <n v="27867"/>
  </r>
  <r>
    <x v="7"/>
    <x v="134"/>
    <x v="239"/>
    <n v="34804"/>
  </r>
  <r>
    <x v="7"/>
    <x v="211"/>
    <x v="239"/>
    <n v="32856"/>
  </r>
  <r>
    <x v="7"/>
    <x v="111"/>
    <x v="239"/>
    <n v="25961"/>
  </r>
  <r>
    <x v="8"/>
    <x v="170"/>
    <x v="239"/>
    <n v="46835"/>
  </r>
  <r>
    <x v="8"/>
    <x v="14"/>
    <x v="239"/>
    <n v="41304"/>
  </r>
  <r>
    <x v="8"/>
    <x v="29"/>
    <x v="239"/>
    <n v="39622"/>
  </r>
  <r>
    <x v="8"/>
    <x v="89"/>
    <x v="239"/>
    <n v="57048"/>
  </r>
  <r>
    <x v="8"/>
    <x v="67"/>
    <x v="239"/>
    <n v="47774"/>
  </r>
  <r>
    <x v="1"/>
    <x v="1"/>
    <x v="240"/>
    <n v="15317"/>
  </r>
  <r>
    <x v="13"/>
    <x v="191"/>
    <x v="240"/>
    <n v="16996"/>
  </r>
  <r>
    <x v="7"/>
    <x v="118"/>
    <x v="240"/>
    <n v="47102"/>
  </r>
  <r>
    <x v="7"/>
    <x v="79"/>
    <x v="240"/>
    <n v="26476"/>
  </r>
  <r>
    <x v="8"/>
    <x v="94"/>
    <x v="240"/>
    <n v="39580"/>
  </r>
  <r>
    <x v="8"/>
    <x v="112"/>
    <x v="240"/>
    <n v="40803"/>
  </r>
  <r>
    <x v="8"/>
    <x v="89"/>
    <x v="240"/>
    <n v="49238"/>
  </r>
  <r>
    <x v="2"/>
    <x v="182"/>
    <x v="241"/>
    <n v="29070"/>
  </r>
  <r>
    <x v="2"/>
    <x v="145"/>
    <x v="241"/>
    <n v="38572"/>
  </r>
  <r>
    <x v="13"/>
    <x v="44"/>
    <x v="241"/>
    <n v="17050"/>
  </r>
  <r>
    <x v="11"/>
    <x v="31"/>
    <x v="241"/>
    <n v="17581"/>
  </r>
  <r>
    <x v="9"/>
    <x v="147"/>
    <x v="241"/>
    <n v="19922"/>
  </r>
  <r>
    <x v="12"/>
    <x v="227"/>
    <x v="241"/>
    <n v="14747"/>
  </r>
  <r>
    <x v="7"/>
    <x v="229"/>
    <x v="241"/>
    <n v="37949"/>
  </r>
  <r>
    <x v="8"/>
    <x v="27"/>
    <x v="241"/>
    <n v="46158"/>
  </r>
  <r>
    <x v="8"/>
    <x v="39"/>
    <x v="241"/>
    <n v="46551"/>
  </r>
  <r>
    <x v="8"/>
    <x v="57"/>
    <x v="241"/>
    <n v="45610"/>
  </r>
  <r>
    <x v="8"/>
    <x v="113"/>
    <x v="241"/>
    <n v="33862"/>
  </r>
  <r>
    <x v="8"/>
    <x v="153"/>
    <x v="241"/>
    <n v="34447"/>
  </r>
  <r>
    <x v="3"/>
    <x v="33"/>
    <x v="242"/>
    <n v="16023"/>
  </r>
  <r>
    <x v="11"/>
    <x v="231"/>
    <x v="242"/>
    <n v="26933"/>
  </r>
  <r>
    <x v="11"/>
    <x v="184"/>
    <x v="242"/>
    <n v="18501"/>
  </r>
  <r>
    <x v="12"/>
    <x v="0"/>
    <x v="242"/>
    <n v="14616"/>
  </r>
  <r>
    <x v="12"/>
    <x v="167"/>
    <x v="242"/>
    <n v="14902"/>
  </r>
  <r>
    <x v="7"/>
    <x v="88"/>
    <x v="242"/>
    <n v="27386"/>
  </r>
  <r>
    <x v="7"/>
    <x v="57"/>
    <x v="242"/>
    <n v="39784"/>
  </r>
  <r>
    <x v="8"/>
    <x v="40"/>
    <x v="242"/>
    <n v="51668"/>
  </r>
  <r>
    <x v="8"/>
    <x v="194"/>
    <x v="242"/>
    <n v="43095"/>
  </r>
  <r>
    <x v="8"/>
    <x v="120"/>
    <x v="242"/>
    <n v="40513"/>
  </r>
  <r>
    <x v="8"/>
    <x v="67"/>
    <x v="242"/>
    <n v="41304"/>
  </r>
  <r>
    <x v="20"/>
    <x v="237"/>
    <x v="2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957">
  <r>
    <s v="Белова Екатерина Максимовна"/>
    <n v="1.1438433136428687E-2"/>
    <x v="0"/>
    <x v="0"/>
    <n v="694728"/>
  </r>
  <r>
    <s v="Волков Борис Игоревич"/>
    <n v="2.1069199713710456E-2"/>
    <x v="0"/>
    <x v="0"/>
    <n v="1126666"/>
  </r>
  <r>
    <s v="Волкова Марина Денисовна"/>
    <n v="2.4336350886946568E-2"/>
    <x v="0"/>
    <x v="0"/>
    <n v="545986"/>
  </r>
  <r>
    <s v="Воробьев Юрий Ильич"/>
    <n v="3.1280532739969329E-2"/>
    <x v="0"/>
    <x v="0"/>
    <n v="274602"/>
  </r>
  <r>
    <s v="Григорьев Николай Романович"/>
    <n v="2.5423753047406215E-2"/>
    <x v="0"/>
    <x v="0"/>
    <n v="774471"/>
  </r>
  <r>
    <s v="Захарова Надежда Романовна"/>
    <n v="1.1748494105628388E-2"/>
    <x v="0"/>
    <x v="0"/>
    <n v="732453"/>
  </r>
  <r>
    <s v="Иванов Олег Михайлович"/>
    <n v="2.2727459661956165E-2"/>
    <x v="0"/>
    <x v="0"/>
    <n v="563642"/>
  </r>
  <r>
    <s v="Иванова Ксения Александровна"/>
    <n v="9.6069098770814099E-2"/>
    <x v="0"/>
    <x v="0"/>
    <n v="741605"/>
  </r>
  <r>
    <s v="Козлова Полина Антоновна"/>
    <n v="2.3101715858755572E-2"/>
    <x v="0"/>
    <x v="0"/>
    <n v="478881"/>
  </r>
  <r>
    <s v="Комаров Борис Борисович"/>
    <n v="1.9391844254311463E-2"/>
    <x v="0"/>
    <x v="0"/>
    <n v="268858"/>
  </r>
  <r>
    <s v="Комаров Максим Кириллович"/>
    <n v="2.8716609083096277E-2"/>
    <x v="0"/>
    <x v="0"/>
    <n v="693818"/>
  </r>
  <r>
    <s v="Комаров Олег Олегович"/>
    <n v="2.5181563676958212E-2"/>
    <x v="0"/>
    <x v="0"/>
    <n v="499246"/>
  </r>
  <r>
    <s v="Комарова Дарья Игоревна"/>
    <n v="1.8242580281736576E-2"/>
    <x v="0"/>
    <x v="0"/>
    <n v="261104"/>
  </r>
  <r>
    <s v="Комарова Светлана Владимировна"/>
    <n v="2.0890690661497534E-2"/>
    <x v="0"/>
    <x v="0"/>
    <n v="301779"/>
  </r>
  <r>
    <s v="Кузнецов Денис Сергеевич"/>
    <n v="2.7167657760852844E-2"/>
    <x v="0"/>
    <x v="0"/>
    <n v="256961"/>
  </r>
  <r>
    <s v="Кузнецова Алина Федоровна"/>
    <n v="2.4044651394710393E-2"/>
    <x v="0"/>
    <x v="0"/>
    <n v="292200"/>
  </r>
  <r>
    <s v="Кузнецова Анастасия Олеговна"/>
    <n v="2.1484705130134747E-2"/>
    <x v="0"/>
    <x v="0"/>
    <n v="1010773"/>
  </r>
  <r>
    <s v="Кузнецова Наталья Антоновна"/>
    <n v="2.344419842817214E-2"/>
    <x v="0"/>
    <x v="0"/>
    <n v="443850"/>
  </r>
  <r>
    <s v="Морозова Дарья Николаевна"/>
    <n v="2.8303984592189472E-2"/>
    <x v="0"/>
    <x v="0"/>
    <n v="1245444"/>
  </r>
  <r>
    <s v="Никитина Марина Денисовна"/>
    <n v="2.3968400325166915E-2"/>
    <x v="0"/>
    <x v="0"/>
    <n v="289585"/>
  </r>
  <r>
    <s v="Никитина Марина Ильинична"/>
    <n v="1.9920571897713655E-2"/>
    <x v="0"/>
    <x v="0"/>
    <n v="823357"/>
  </r>
  <r>
    <s v="Новиков Андрей Антонович"/>
    <n v="8.7927786646155956E-2"/>
    <x v="0"/>
    <x v="0"/>
    <n v="285466"/>
  </r>
  <r>
    <s v="Орлова Мария Владимировна"/>
    <n v="1.5685354305491086E-2"/>
    <x v="0"/>
    <x v="0"/>
    <n v="607306"/>
  </r>
  <r>
    <s v="Орлова Полина Ивановна"/>
    <n v="1.7518255507284804E-2"/>
    <x v="0"/>
    <x v="0"/>
    <n v="781944"/>
  </r>
  <r>
    <s v="Петров Степан Александрович"/>
    <n v="2.4350806455242176E-2"/>
    <x v="0"/>
    <x v="0"/>
    <n v="973547"/>
  </r>
  <r>
    <s v="Петрова Людмила Федоровна"/>
    <n v="2.9402557129969347E-2"/>
    <x v="0"/>
    <x v="0"/>
    <n v="663270"/>
  </r>
  <r>
    <s v="Попов Сергей Артемович"/>
    <n v="2.8715427199599023E-2"/>
    <x v="0"/>
    <x v="0"/>
    <n v="488649"/>
  </r>
  <r>
    <s v="Попова Надежда Павловна"/>
    <n v="2.3268130184207168E-2"/>
    <x v="0"/>
    <x v="0"/>
    <n v="1243018"/>
  </r>
  <r>
    <s v="Романов Иван Николаевич"/>
    <n v="2.5442193642081532E-2"/>
    <x v="0"/>
    <x v="0"/>
    <n v="454167"/>
  </r>
  <r>
    <s v="Сергеев Николай Антонович"/>
    <n v="1.6104128660818645E-2"/>
    <x v="0"/>
    <x v="0"/>
    <n v="333252"/>
  </r>
  <r>
    <s v="Сидоров Артем Алексеевич"/>
    <n v="3.2623172380098944E-2"/>
    <x v="0"/>
    <x v="0"/>
    <n v="586866"/>
  </r>
  <r>
    <s v="Сидоров Дмитрий Кириллович"/>
    <n v="2.6580759330831056E-2"/>
    <x v="0"/>
    <x v="0"/>
    <n v="787489"/>
  </r>
  <r>
    <s v="Сидоров Михаил Антонович"/>
    <n v="2.8582246984208349E-2"/>
    <x v="0"/>
    <x v="0"/>
    <n v="801823"/>
  </r>
  <r>
    <s v="Сидорова Софья Ильинична"/>
    <n v="2.4890283759124308E-2"/>
    <x v="0"/>
    <x v="0"/>
    <n v="429790"/>
  </r>
  <r>
    <s v="Смирнов Иван Владимирович"/>
    <n v="2.9371453714868531E-2"/>
    <x v="0"/>
    <x v="0"/>
    <n v="272381"/>
  </r>
  <r>
    <s v="Смирнов Степан Артемович"/>
    <n v="2.8561700122068955E-2"/>
    <x v="0"/>
    <x v="0"/>
    <n v="396477"/>
  </r>
  <r>
    <s v="Соколов Никита Ильич"/>
    <n v="2.874872470767563E-2"/>
    <x v="0"/>
    <x v="0"/>
    <n v="283501"/>
  </r>
  <r>
    <s v="Соловьев Сергей Николаевич"/>
    <n v="3.0481366240711103E-2"/>
    <x v="0"/>
    <x v="0"/>
    <n v="341883"/>
  </r>
  <r>
    <s v="Соловьева Ольга Дмитриевна"/>
    <n v="2.9015130693130081E-2"/>
    <x v="0"/>
    <x v="0"/>
    <n v="448514"/>
  </r>
  <r>
    <s v="Степанов Артем Романович"/>
    <n v="2.1932511737401378E-2"/>
    <x v="0"/>
    <x v="0"/>
    <n v="368311"/>
  </r>
  <r>
    <s v="Степанова Ксения Ильинична"/>
    <n v="1.9927669174569132E-2"/>
    <x v="0"/>
    <x v="0"/>
    <n v="1107473"/>
  </r>
  <r>
    <s v="Федоров Николай Антонович"/>
    <n v="3.1869939323137635E-2"/>
    <x v="0"/>
    <x v="0"/>
    <n v="1240010"/>
  </r>
  <r>
    <s v="Федоров Роман Михайлович"/>
    <n v="2.5985930163023481E-2"/>
    <x v="0"/>
    <x v="0"/>
    <n v="994836"/>
  </r>
  <r>
    <s v="Федоров Федор Антонович"/>
    <n v="2.2266132975647869E-2"/>
    <x v="0"/>
    <x v="0"/>
    <n v="913039"/>
  </r>
  <r>
    <s v="Федорова Валерия Антоновна"/>
    <n v="2.5035321749202109E-2"/>
    <x v="0"/>
    <x v="0"/>
    <n v="388225"/>
  </r>
  <r>
    <s v="Федорова Марина Александровна"/>
    <n v="2.5697403191952767E-2"/>
    <x v="0"/>
    <x v="0"/>
    <n v="583912"/>
  </r>
  <r>
    <s v="Яковлев Сергей Викторович"/>
    <n v="2.7589198479888586E-2"/>
    <x v="0"/>
    <x v="0"/>
    <n v="406143"/>
  </r>
  <r>
    <s v="Яковлева Александра Николаевна"/>
    <n v="2.2105727245258101E-2"/>
    <x v="0"/>
    <x v="0"/>
    <n v="335578"/>
  </r>
  <r>
    <s v="Андреев Артем Борисович"/>
    <n v="0.16507195207331746"/>
    <x v="0"/>
    <x v="1"/>
    <n v="331987"/>
  </r>
  <r>
    <s v="Андреева Софья Романовна"/>
    <n v="0.16762381123565828"/>
    <x v="0"/>
    <x v="1"/>
    <n v="974695"/>
  </r>
  <r>
    <s v="Баранов Артем Владимирович"/>
    <n v="0.15164303069961493"/>
    <x v="0"/>
    <x v="1"/>
    <n v="478849"/>
  </r>
  <r>
    <s v="Волкова Светлана Романовна"/>
    <n v="0.15300273932472783"/>
    <x v="0"/>
    <x v="1"/>
    <n v="301002"/>
  </r>
  <r>
    <s v="Воробьев Виктор Николаевич"/>
    <n v="0.18592411417201873"/>
    <x v="0"/>
    <x v="1"/>
    <n v="230747"/>
  </r>
  <r>
    <s v="Воробьев Дмитрий Николаевич"/>
    <n v="0.17122406106283303"/>
    <x v="0"/>
    <x v="1"/>
    <n v="1209775"/>
  </r>
  <r>
    <s v="Зайцев Андрей Антонович"/>
    <n v="0.17111372762787724"/>
    <x v="0"/>
    <x v="1"/>
    <n v="444415"/>
  </r>
  <r>
    <s v="Зайцев Сергей Владимирович"/>
    <n v="0.15168100550720207"/>
    <x v="0"/>
    <x v="1"/>
    <n v="961716"/>
  </r>
  <r>
    <s v="Захаров Илья Кириллович"/>
    <n v="0.13771959567444797"/>
    <x v="0"/>
    <x v="1"/>
    <n v="457552"/>
  </r>
  <r>
    <s v="Захаров Михаил Олегович"/>
    <n v="0.19285391175841493"/>
    <x v="0"/>
    <x v="1"/>
    <n v="737372"/>
  </r>
  <r>
    <s v="Захарова Мария Андреевна"/>
    <n v="0.15278138041989031"/>
    <x v="0"/>
    <x v="1"/>
    <n v="739283"/>
  </r>
  <r>
    <s v="Иванов Олег Евгеньевич"/>
    <n v="0.18129182283708378"/>
    <x v="0"/>
    <x v="1"/>
    <n v="309598"/>
  </r>
  <r>
    <s v="Иванова Елена Евгеньевна"/>
    <n v="0.14452862500596542"/>
    <x v="0"/>
    <x v="1"/>
    <n v="297777"/>
  </r>
  <r>
    <s v="Ковалев Владимир Романович"/>
    <n v="0.14493811402833309"/>
    <x v="0"/>
    <x v="1"/>
    <n v="807631"/>
  </r>
  <r>
    <s v="Козлов Юрий Антонович"/>
    <n v="0.15716947800607139"/>
    <x v="0"/>
    <x v="1"/>
    <n v="856361"/>
  </r>
  <r>
    <s v="Комарова Валерия Ивановна"/>
    <n v="0.19119573524979488"/>
    <x v="0"/>
    <x v="1"/>
    <n v="244770"/>
  </r>
  <r>
    <s v="Куликов Артем Антонович"/>
    <n v="0.23497762671092207"/>
    <x v="0"/>
    <x v="1"/>
    <n v="1133843"/>
  </r>
  <r>
    <s v="Макаров Илья Андреевич"/>
    <n v="0.16581581470813866"/>
    <x v="0"/>
    <x v="1"/>
    <n v="499953"/>
  </r>
  <r>
    <s v="Макаров Илья Павлович"/>
    <n v="0.13712519270651174"/>
    <x v="0"/>
    <x v="1"/>
    <n v="315414"/>
  </r>
  <r>
    <s v="Макарова Дарья Алексеевна"/>
    <n v="0.15894986623362339"/>
    <x v="0"/>
    <x v="1"/>
    <n v="529342"/>
  </r>
  <r>
    <s v="Морозова Александра Ивановна"/>
    <n v="0.13359902132517609"/>
    <x v="0"/>
    <x v="1"/>
    <n v="657643"/>
  </r>
  <r>
    <s v="Никитин Виктор Сергеевич"/>
    <n v="0.11195182764659072"/>
    <x v="0"/>
    <x v="1"/>
    <n v="721272"/>
  </r>
  <r>
    <s v="Никитина Юлия Алексеевна"/>
    <n v="0.18505307550577393"/>
    <x v="0"/>
    <x v="1"/>
    <n v="370695"/>
  </r>
  <r>
    <s v="Новиков Артем Олегович"/>
    <n v="0.12704868805887526"/>
    <x v="0"/>
    <x v="1"/>
    <n v="895275"/>
  </r>
  <r>
    <s v="Новиков Евгений Артемович"/>
    <n v="0.16735864409911999"/>
    <x v="0"/>
    <x v="1"/>
    <n v="641873"/>
  </r>
  <r>
    <s v="Семенов Андрей Игоревич"/>
    <n v="0.18625010181319443"/>
    <x v="0"/>
    <x v="1"/>
    <n v="450585"/>
  </r>
  <r>
    <s v="Семенов Дмитрий Михайлович"/>
    <n v="0.1251230653747791"/>
    <x v="0"/>
    <x v="1"/>
    <n v="606225"/>
  </r>
  <r>
    <s v="Семенова Людмила Павловна"/>
    <n v="0.14293152101662304"/>
    <x v="0"/>
    <x v="1"/>
    <n v="320596"/>
  </r>
  <r>
    <s v="Сергеев Владимир Александрович"/>
    <n v="0.18567672711273026"/>
    <x v="0"/>
    <x v="1"/>
    <n v="284788"/>
  </r>
  <r>
    <s v="Тарасов Артем Евгеньевич"/>
    <n v="0.15747573942506798"/>
    <x v="0"/>
    <x v="1"/>
    <n v="316318"/>
  </r>
  <r>
    <s v="Тарасов Олег Викторович"/>
    <n v="0.19793251150028301"/>
    <x v="0"/>
    <x v="1"/>
    <n v="1240958"/>
  </r>
  <r>
    <s v="Федорова Алина Ивановна"/>
    <n v="0.11172248531806651"/>
    <x v="0"/>
    <x v="1"/>
    <n v="1083782"/>
  </r>
  <r>
    <s v="Яковлев Александр Романович"/>
    <n v="0.12500725309755106"/>
    <x v="0"/>
    <x v="1"/>
    <n v="267233"/>
  </r>
  <r>
    <s v="Яковлев Михаил Викторович"/>
    <n v="0.14704181214495121"/>
    <x v="0"/>
    <x v="1"/>
    <n v="263323"/>
  </r>
  <r>
    <s v="Яковлева Екатерина Дмитриевна"/>
    <n v="0.16594494809507149"/>
    <x v="0"/>
    <x v="1"/>
    <n v="467183"/>
  </r>
  <r>
    <s v="Алексеева Татьяна Андреевна"/>
    <n v="0.51848573059349345"/>
    <x v="0"/>
    <x v="2"/>
    <n v="1118882"/>
  </r>
  <r>
    <s v="Андреев Михаил Иванович"/>
    <n v="0.70491671625182795"/>
    <x v="0"/>
    <x v="2"/>
    <n v="1155241"/>
  </r>
  <r>
    <s v="Андреева Алина Максимовна"/>
    <n v="0.74446477558143398"/>
    <x v="0"/>
    <x v="2"/>
    <n v="467682"/>
  </r>
  <r>
    <s v="Андреева Татьяна Максимовна"/>
    <n v="0.74147540856142979"/>
    <x v="0"/>
    <x v="2"/>
    <n v="303188"/>
  </r>
  <r>
    <s v="Белова Наталья Игоревна"/>
    <n v="0.663605758772285"/>
    <x v="0"/>
    <x v="2"/>
    <n v="467917"/>
  </r>
  <r>
    <s v="Васильева Людмила Антоновна"/>
    <n v="0.57034419447295781"/>
    <x v="0"/>
    <x v="2"/>
    <n v="252146"/>
  </r>
  <r>
    <s v="Воробьев Александр Павлович"/>
    <n v="0.76672774343399241"/>
    <x v="0"/>
    <x v="2"/>
    <n v="487024"/>
  </r>
  <r>
    <s v="Воробьев Кирилл Борисович"/>
    <n v="0.50397444801307179"/>
    <x v="0"/>
    <x v="2"/>
    <n v="620527"/>
  </r>
  <r>
    <s v="Егорова Екатерина Михайловна"/>
    <n v="0.67036657611841766"/>
    <x v="0"/>
    <x v="2"/>
    <n v="375746"/>
  </r>
  <r>
    <s v="Егорова Ирина Сергеевна"/>
    <n v="0.66568198847027538"/>
    <x v="0"/>
    <x v="2"/>
    <n v="316371"/>
  </r>
  <r>
    <s v="Зайцев Федор Игоревич"/>
    <n v="0.60887429243910773"/>
    <x v="0"/>
    <x v="2"/>
    <n v="346040"/>
  </r>
  <r>
    <s v="Зайцева Наталья Евгеньевна"/>
    <n v="0.59772877186010831"/>
    <x v="0"/>
    <x v="2"/>
    <n v="676850"/>
  </r>
  <r>
    <s v="Ковалева Дарья Александровна"/>
    <n v="0.58373106262898211"/>
    <x v="0"/>
    <x v="2"/>
    <n v="898010"/>
  </r>
  <r>
    <s v="Козлов Игорь Михайлович"/>
    <n v="0.77844182872943901"/>
    <x v="0"/>
    <x v="2"/>
    <n v="943743"/>
  </r>
  <r>
    <s v="Козлов Федор Борисович"/>
    <n v="0.48409918465183693"/>
    <x v="0"/>
    <x v="2"/>
    <n v="525464"/>
  </r>
  <r>
    <s v="Комарова Алина Романовна"/>
    <n v="0.59070562053021425"/>
    <x v="0"/>
    <x v="2"/>
    <n v="523141"/>
  </r>
  <r>
    <s v="Кузнецова Валерия Игоревна"/>
    <n v="0.5137399813261857"/>
    <x v="0"/>
    <x v="2"/>
    <n v="230473"/>
  </r>
  <r>
    <s v="Кузнецова Мария Дмитриевна"/>
    <n v="0.3062752692943706"/>
    <x v="0"/>
    <x v="2"/>
    <n v="527474"/>
  </r>
  <r>
    <s v="Макаров Алексей Андреевич"/>
    <n v="0.78645269599593248"/>
    <x v="0"/>
    <x v="2"/>
    <n v="701433"/>
  </r>
  <r>
    <s v="Макарова Валерия Олеговна"/>
    <n v="0.63447070397797034"/>
    <x v="0"/>
    <x v="2"/>
    <n v="324584"/>
  </r>
  <r>
    <s v="Михайлов Илья Алексеевич"/>
    <n v="0.63179191903410536"/>
    <x v="0"/>
    <x v="2"/>
    <n v="258569"/>
  </r>
  <r>
    <s v="Михайлова Виктория Андреевна"/>
    <n v="0.53571016704093233"/>
    <x v="0"/>
    <x v="2"/>
    <n v="1598947"/>
  </r>
  <r>
    <s v="Михайлова Ольга Алексеевна"/>
    <n v="0.82893458205347537"/>
    <x v="0"/>
    <x v="2"/>
    <n v="255909"/>
  </r>
  <r>
    <s v="Морозова Алина Викторовна"/>
    <n v="0.75535813155607912"/>
    <x v="0"/>
    <x v="2"/>
    <n v="523356"/>
  </r>
  <r>
    <s v="Николаева Алина Викторовна"/>
    <n v="0.58829974481763603"/>
    <x v="0"/>
    <x v="2"/>
    <n v="1184589"/>
  </r>
  <r>
    <s v="Николаева Надежда Олеговна"/>
    <n v="0.77557532696634701"/>
    <x v="0"/>
    <x v="2"/>
    <n v="490974"/>
  </r>
  <r>
    <s v="Николаева Татьяна Викторовна"/>
    <n v="0.36040511692689375"/>
    <x v="0"/>
    <x v="2"/>
    <n v="1051587"/>
  </r>
  <r>
    <s v="Новиков Вадим Борисович"/>
    <n v="0.74924092893108818"/>
    <x v="0"/>
    <x v="2"/>
    <n v="303752"/>
  </r>
  <r>
    <s v="Орлова Валерия Евгеньевна"/>
    <n v="0.53724300597907959"/>
    <x v="0"/>
    <x v="2"/>
    <n v="801306"/>
  </r>
  <r>
    <s v="Павлов Илья Федорович"/>
    <n v="0.69593389000154682"/>
    <x v="0"/>
    <x v="2"/>
    <n v="720678"/>
  </r>
  <r>
    <s v="Романова Ксения Федоровна"/>
    <n v="0.65364054707499997"/>
    <x v="0"/>
    <x v="2"/>
    <n v="758515"/>
  </r>
  <r>
    <s v="Семенова Валерия Романовна"/>
    <n v="0.91699360338992741"/>
    <x v="0"/>
    <x v="2"/>
    <n v="685983"/>
  </r>
  <r>
    <s v="Сидоров Павел Артемович"/>
    <n v="0.74619753914114462"/>
    <x v="0"/>
    <x v="2"/>
    <n v="490329"/>
  </r>
  <r>
    <s v="Сидорова Мария Федоровна"/>
    <n v="0.6240291724429321"/>
    <x v="0"/>
    <x v="2"/>
    <n v="310857"/>
  </r>
  <r>
    <s v="Тарасова Елена Олеговна"/>
    <n v="0.40699357213226101"/>
    <x v="0"/>
    <x v="2"/>
    <n v="297280"/>
  </r>
  <r>
    <s v="Яковлева Светлана Евгеньевна"/>
    <n v="0.64242760184390613"/>
    <x v="0"/>
    <x v="2"/>
    <n v="1142774"/>
  </r>
  <r>
    <s v="Андреева Екатерина Сергеевна"/>
    <n v="2.6886387877402381E-2"/>
    <x v="1"/>
    <x v="0"/>
    <n v="196828"/>
  </r>
  <r>
    <s v="Баранова Анна Дмитриевна"/>
    <n v="2.2437134842732631E-2"/>
    <x v="1"/>
    <x v="0"/>
    <n v="171932"/>
  </r>
  <r>
    <s v="Белова Наталья Сергеевна"/>
    <n v="2.6505095486496214E-2"/>
    <x v="1"/>
    <x v="0"/>
    <n v="128469"/>
  </r>
  <r>
    <s v="Васильев Андрей Михайлович"/>
    <n v="2.9926234969158347E-2"/>
    <x v="1"/>
    <x v="0"/>
    <n v="157726"/>
  </r>
  <r>
    <s v="Григорьев Евгений Антонович"/>
    <n v="2.0007040839839643E-2"/>
    <x v="1"/>
    <x v="0"/>
    <n v="189363"/>
  </r>
  <r>
    <s v="Егорова Наталья Павловна"/>
    <n v="2.4598236295027297E-2"/>
    <x v="1"/>
    <x v="0"/>
    <n v="133076"/>
  </r>
  <r>
    <s v="Зайцев Борис Михайлович"/>
    <n v="2.3566935685822989E-2"/>
    <x v="1"/>
    <x v="0"/>
    <n v="142301"/>
  </r>
  <r>
    <s v="Иванова Алина Андреевна"/>
    <n v="2.8632975823603409E-2"/>
    <x v="1"/>
    <x v="0"/>
    <n v="143330"/>
  </r>
  <r>
    <s v="Ковалев Иван Викторович"/>
    <n v="2.9625033558010595E-2"/>
    <x v="1"/>
    <x v="0"/>
    <n v="127399"/>
  </r>
  <r>
    <s v="Ковалев Кирилл Алексеевич"/>
    <n v="2.2963902714307309E-2"/>
    <x v="1"/>
    <x v="0"/>
    <n v="179911"/>
  </r>
  <r>
    <s v="Ковалев Никита Сергеевич"/>
    <n v="9.9141684185480902E-2"/>
    <x v="1"/>
    <x v="0"/>
    <n v="147233"/>
  </r>
  <r>
    <s v="Комарова Юлия Владимировна"/>
    <n v="2.6902131472323169E-2"/>
    <x v="1"/>
    <x v="0"/>
    <n v="223471"/>
  </r>
  <r>
    <s v="Кузнецов Денис Борисович"/>
    <n v="2.8023969787248231E-2"/>
    <x v="1"/>
    <x v="0"/>
    <n v="213698"/>
  </r>
  <r>
    <s v="Макарова Виктория Владимировна"/>
    <n v="2.4838694363579418E-2"/>
    <x v="1"/>
    <x v="0"/>
    <n v="223241"/>
  </r>
  <r>
    <s v="Михайлов Кирилл Павлович"/>
    <n v="1.28238199740838E-2"/>
    <x v="1"/>
    <x v="0"/>
    <n v="153199"/>
  </r>
  <r>
    <s v="Михайлова Виктория Антоновна"/>
    <n v="2.3552729851455328E-2"/>
    <x v="1"/>
    <x v="0"/>
    <n v="138378"/>
  </r>
  <r>
    <s v="Морозов Павел Романович"/>
    <n v="1.3899155870892556E-2"/>
    <x v="1"/>
    <x v="0"/>
    <n v="196269"/>
  </r>
  <r>
    <s v="Морозова Софья Максимовна"/>
    <n v="3.0461828218577573E-2"/>
    <x v="1"/>
    <x v="0"/>
    <n v="147009"/>
  </r>
  <r>
    <s v="Никитин Антон Алексеевич"/>
    <n v="2.0587806761791866E-2"/>
    <x v="1"/>
    <x v="0"/>
    <n v="162966"/>
  </r>
  <r>
    <s v="Никитин Роман Николаевич"/>
    <n v="2.3978656643897776E-2"/>
    <x v="1"/>
    <x v="0"/>
    <n v="133756"/>
  </r>
  <r>
    <s v="Никитина Татьяна Антоновна"/>
    <n v="1.7676256362773944E-2"/>
    <x v="1"/>
    <x v="0"/>
    <n v="172130"/>
  </r>
  <r>
    <s v="Николаева Ирина Максимовна"/>
    <n v="2.0987815082026143E-2"/>
    <x v="1"/>
    <x v="0"/>
    <n v="206693"/>
  </r>
  <r>
    <s v="Орлова Виктория Евгеньевна"/>
    <n v="2.3285542604857733E-2"/>
    <x v="1"/>
    <x v="0"/>
    <n v="209650"/>
  </r>
  <r>
    <s v="Павлов Федор Павлович"/>
    <n v="2.8147729611666863E-2"/>
    <x v="1"/>
    <x v="0"/>
    <n v="220559"/>
  </r>
  <r>
    <s v="Павлова Наталья Антоновна"/>
    <n v="2.0155721135746499E-2"/>
    <x v="1"/>
    <x v="0"/>
    <n v="191385"/>
  </r>
  <r>
    <s v="Романов Алексей Владимирович"/>
    <n v="9.9595047771000103E-2"/>
    <x v="1"/>
    <x v="0"/>
    <n v="167844"/>
  </r>
  <r>
    <s v="Романов Кирилл Михайлович"/>
    <n v="2.187006738826339E-2"/>
    <x v="1"/>
    <x v="0"/>
    <n v="147393"/>
  </r>
  <r>
    <s v="Романова Ирина Антоновна"/>
    <n v="3.519447390593268E-2"/>
    <x v="1"/>
    <x v="0"/>
    <n v="177159"/>
  </r>
  <r>
    <s v="Семенов Игорь Федорович"/>
    <n v="1.1274456866522531E-2"/>
    <x v="1"/>
    <x v="0"/>
    <n v="220179"/>
  </r>
  <r>
    <s v="Семенова Александра Ильинична"/>
    <n v="2.5259076761082112E-2"/>
    <x v="1"/>
    <x v="0"/>
    <n v="175937"/>
  </r>
  <r>
    <s v="Сергеев Никита Денисович"/>
    <n v="2.4037109654990597E-2"/>
    <x v="1"/>
    <x v="0"/>
    <n v="127287"/>
  </r>
  <r>
    <s v="Сергеева Полина Павловна"/>
    <n v="2.3951428077845498E-2"/>
    <x v="1"/>
    <x v="0"/>
    <n v="127361"/>
  </r>
  <r>
    <s v="Сидоров Виктор Алексеевич"/>
    <n v="2.5175445228029898E-2"/>
    <x v="1"/>
    <x v="0"/>
    <n v="145321"/>
  </r>
  <r>
    <s v="Сидорова Полина Александровна"/>
    <n v="2.5547607612669339E-2"/>
    <x v="1"/>
    <x v="0"/>
    <n v="208866"/>
  </r>
  <r>
    <s v="Степанова Виктория Ивановна"/>
    <n v="2.139017874378376E-2"/>
    <x v="1"/>
    <x v="0"/>
    <n v="149509"/>
  </r>
  <r>
    <s v="Яковлев Антон Антонович"/>
    <n v="3.1118992274904996E-2"/>
    <x v="1"/>
    <x v="0"/>
    <n v="147232"/>
  </r>
  <r>
    <s v="Баранов Алексей Алексеевич"/>
    <n v="0.23400032375277899"/>
    <x v="1"/>
    <x v="1"/>
    <n v="158166"/>
  </r>
  <r>
    <s v="Васильева Надежда Ильинична"/>
    <n v="0.17192787319233879"/>
    <x v="1"/>
    <x v="1"/>
    <n v="183333"/>
  </r>
  <r>
    <s v="Волкова Анастасия Денисовна"/>
    <n v="0.14793982156137603"/>
    <x v="1"/>
    <x v="1"/>
    <n v="203877"/>
  </r>
  <r>
    <s v="Иванов Владимир Алексеевич"/>
    <n v="0.18400880927207797"/>
    <x v="1"/>
    <x v="1"/>
    <n v="192967"/>
  </r>
  <r>
    <s v="Иванова Елена Павловна"/>
    <n v="0.1926330515114216"/>
    <x v="1"/>
    <x v="1"/>
    <n v="153518"/>
  </r>
  <r>
    <s v="Иванова Светлана Федоровна"/>
    <n v="0.24088435460598245"/>
    <x v="1"/>
    <x v="1"/>
    <n v="180278"/>
  </r>
  <r>
    <s v="Ковалев Кирилл Кириллович"/>
    <n v="0.17321865915912296"/>
    <x v="1"/>
    <x v="1"/>
    <n v="161695"/>
  </r>
  <r>
    <s v="Морозов Антон Дмитриевич"/>
    <n v="0.1217472814704476"/>
    <x v="1"/>
    <x v="1"/>
    <n v="139825"/>
  </r>
  <r>
    <s v="Морозова Мария Павловна"/>
    <n v="0.1389882548863903"/>
    <x v="1"/>
    <x v="1"/>
    <n v="140120"/>
  </r>
  <r>
    <s v="Никитин Павел Евгеньевич"/>
    <n v="0.15825874916763014"/>
    <x v="1"/>
    <x v="1"/>
    <n v="137905"/>
  </r>
  <r>
    <s v="Никитин Сергей Андреевич"/>
    <n v="0.17313246729237608"/>
    <x v="1"/>
    <x v="1"/>
    <n v="144843"/>
  </r>
  <r>
    <s v="Николаев Федор Алексеевич"/>
    <n v="0.17819395537729732"/>
    <x v="1"/>
    <x v="1"/>
    <n v="191817"/>
  </r>
  <r>
    <s v="Попова Валерия Сергеевна"/>
    <n v="0.18649556908105519"/>
    <x v="1"/>
    <x v="1"/>
    <n v="136132"/>
  </r>
  <r>
    <s v="Романов Денис Викторович"/>
    <n v="0.11984991297723951"/>
    <x v="1"/>
    <x v="1"/>
    <n v="168027"/>
  </r>
  <r>
    <s v="Семенов Игорь Иванович"/>
    <n v="0.13899280719268112"/>
    <x v="1"/>
    <x v="1"/>
    <n v="166403"/>
  </r>
  <r>
    <s v="Сергеев Игорь Ильич"/>
    <n v="0.19582231310707521"/>
    <x v="1"/>
    <x v="1"/>
    <n v="220054"/>
  </r>
  <r>
    <s v="Тарасов Дмитрий Романович"/>
    <n v="0.18530031488659426"/>
    <x v="1"/>
    <x v="1"/>
    <n v="141576"/>
  </r>
  <r>
    <s v="Тарасов Степан Михайлович"/>
    <n v="0.16771110755598245"/>
    <x v="1"/>
    <x v="1"/>
    <n v="197776"/>
  </r>
  <r>
    <s v="Алексеева Анна Евгеньевна"/>
    <n v="0.42076645135755802"/>
    <x v="1"/>
    <x v="2"/>
    <n v="153779"/>
  </r>
  <r>
    <s v="Андреев Роман Федорович"/>
    <n v="0.76350623486106495"/>
    <x v="1"/>
    <x v="2"/>
    <n v="225867"/>
  </r>
  <r>
    <s v="Белова Елена Денисовна"/>
    <n v="0.61707381939593353"/>
    <x v="1"/>
    <x v="2"/>
    <n v="222487"/>
  </r>
  <r>
    <s v="Борисов Денис Игоревич"/>
    <n v="0.63085567880350113"/>
    <x v="1"/>
    <x v="2"/>
    <n v="127158"/>
  </r>
  <r>
    <s v="Васильева Людмила Денисовна"/>
    <n v="0.74322938536397665"/>
    <x v="1"/>
    <x v="2"/>
    <n v="157412"/>
  </r>
  <r>
    <s v="Григорьева Светлана Игоревна"/>
    <n v="0.59960494301718703"/>
    <x v="1"/>
    <x v="2"/>
    <n v="159693"/>
  </r>
  <r>
    <s v="Егорова Светлана Николаевна"/>
    <n v="0.71103709455694841"/>
    <x v="1"/>
    <x v="2"/>
    <n v="154691"/>
  </r>
  <r>
    <s v="Иванов Дмитрий Игоревич"/>
    <n v="0.41734241791496413"/>
    <x v="1"/>
    <x v="2"/>
    <n v="211031"/>
  </r>
  <r>
    <s v="Кузнецова Юлия Павловна"/>
    <n v="0.49371590696507733"/>
    <x v="1"/>
    <x v="2"/>
    <n v="163841"/>
  </r>
  <r>
    <s v="Лебедева Наталья Ильинична"/>
    <n v="0.69667224416910722"/>
    <x v="1"/>
    <x v="2"/>
    <n v="184977"/>
  </r>
  <r>
    <s v="Макарова Софья Михайловна"/>
    <n v="0.66426141686756257"/>
    <x v="1"/>
    <x v="2"/>
    <n v="151168"/>
  </r>
  <r>
    <s v="Никитин Антон Сергеевич"/>
    <n v="0.56784915358880061"/>
    <x v="1"/>
    <x v="2"/>
    <n v="176247"/>
  </r>
  <r>
    <s v="Никитина Дарья Андреевна"/>
    <n v="0.55658063952635051"/>
    <x v="1"/>
    <x v="2"/>
    <n v="143859"/>
  </r>
  <r>
    <s v="Павлова Анастасия Денисовна"/>
    <n v="0.59765751922550392"/>
    <x v="1"/>
    <x v="2"/>
    <n v="137424"/>
  </r>
  <r>
    <s v="Попов Сергей Сергеевич"/>
    <n v="0.87028974649016821"/>
    <x v="1"/>
    <x v="2"/>
    <n v="206916"/>
  </r>
  <r>
    <s v="Попова Анна Николаевна"/>
    <n v="0.84602898288270667"/>
    <x v="1"/>
    <x v="2"/>
    <n v="193387"/>
  </r>
  <r>
    <s v="Попова Виктория Юрьевна"/>
    <n v="0.43957634137492746"/>
    <x v="1"/>
    <x v="2"/>
    <n v="174401"/>
  </r>
  <r>
    <s v="Сергеев Илья Денисович"/>
    <n v="0.63958568820136119"/>
    <x v="1"/>
    <x v="2"/>
    <n v="202575"/>
  </r>
  <r>
    <s v="Сергеева Светлана Ильинична"/>
    <n v="0.59736912143383858"/>
    <x v="1"/>
    <x v="2"/>
    <n v="209488"/>
  </r>
  <r>
    <s v="Сидорова Софья Андреевна"/>
    <n v="0.50386871114593579"/>
    <x v="1"/>
    <x v="2"/>
    <n v="149633"/>
  </r>
  <r>
    <s v="Федоров Юрий Павлович"/>
    <n v="0.56945211062954437"/>
    <x v="1"/>
    <x v="2"/>
    <n v="128087"/>
  </r>
  <r>
    <s v="Федорова Ольга Романовна"/>
    <n v="0.58774069589344158"/>
    <x v="1"/>
    <x v="2"/>
    <n v="158620"/>
  </r>
  <r>
    <s v="Яковлев Виктор Денисович"/>
    <n v="0.70995368757730071"/>
    <x v="1"/>
    <x v="2"/>
    <n v="177251"/>
  </r>
  <r>
    <s v="Яковлева Елена Юрьевна"/>
    <n v="0.50727422012003676"/>
    <x v="1"/>
    <x v="2"/>
    <n v="215586"/>
  </r>
  <r>
    <s v="Яковлева Татьяна Павловна"/>
    <n v="0.5022348883955341"/>
    <x v="1"/>
    <x v="2"/>
    <n v="146192"/>
  </r>
  <r>
    <s v="Борисов Роман Викторович"/>
    <n v="2.3423352433735958E-2"/>
    <x v="2"/>
    <x v="0"/>
    <n v="112916"/>
  </r>
  <r>
    <s v="Борисов Сергей Александрович"/>
    <n v="2.4089312830353593E-2"/>
    <x v="2"/>
    <x v="0"/>
    <n v="125944"/>
  </r>
  <r>
    <s v="Воробьева Ирина Игоревна"/>
    <n v="2.3283774115273131E-2"/>
    <x v="2"/>
    <x v="0"/>
    <n v="118668"/>
  </r>
  <r>
    <s v="Григорьев Александр Денисович"/>
    <n v="2.5376688549221579E-2"/>
    <x v="2"/>
    <x v="0"/>
    <n v="118923"/>
  </r>
  <r>
    <s v="Иванов Максим Евгеньевич"/>
    <n v="2.0012652767238941E-2"/>
    <x v="2"/>
    <x v="0"/>
    <n v="107297"/>
  </r>
  <r>
    <s v="Козлова Екатерина Павловна"/>
    <n v="2.8845329691039336E-2"/>
    <x v="2"/>
    <x v="0"/>
    <n v="121772"/>
  </r>
  <r>
    <s v="Лебедева Ирина Федоровна"/>
    <n v="2.58879874914433E-2"/>
    <x v="2"/>
    <x v="0"/>
    <n v="118339"/>
  </r>
  <r>
    <s v="Михайлов Игорь Иванович"/>
    <n v="2.7629591732341835E-2"/>
    <x v="2"/>
    <x v="0"/>
    <n v="106775"/>
  </r>
  <r>
    <s v="Морозов Николай Иванович"/>
    <n v="2.6576100617991181E-2"/>
    <x v="2"/>
    <x v="0"/>
    <n v="118177"/>
  </r>
  <r>
    <s v="Орлова Татьяна Павловна"/>
    <n v="3.0828562815194756E-2"/>
    <x v="2"/>
    <x v="0"/>
    <n v="121539"/>
  </r>
  <r>
    <s v="Петрова Марина Николаевна"/>
    <n v="2.8733146133774517E-2"/>
    <x v="2"/>
    <x v="0"/>
    <n v="113196"/>
  </r>
  <r>
    <s v="Соколов Андрей Евгеньевич"/>
    <n v="2.4181140488058753E-2"/>
    <x v="2"/>
    <x v="0"/>
    <n v="118452"/>
  </r>
  <r>
    <s v="Соловьев Кирилл Романович"/>
    <n v="2.3853278646992455E-2"/>
    <x v="2"/>
    <x v="0"/>
    <n v="123367"/>
  </r>
  <r>
    <s v="Федорова Анна Алексеевна"/>
    <n v="2.651244361963976E-2"/>
    <x v="2"/>
    <x v="0"/>
    <n v="106340"/>
  </r>
  <r>
    <s v="Федорова Елена Романовна"/>
    <n v="2.2588171403710628E-2"/>
    <x v="2"/>
    <x v="0"/>
    <n v="117023"/>
  </r>
  <r>
    <s v="Андреев Денис Федорович"/>
    <n v="0.20738054867521391"/>
    <x v="2"/>
    <x v="1"/>
    <n v="111870"/>
  </r>
  <r>
    <s v="Баранов Дмитрий Михайлович"/>
    <n v="0.16353938594933334"/>
    <x v="2"/>
    <x v="1"/>
    <n v="101840"/>
  </r>
  <r>
    <s v="Белова Марина Владимировна"/>
    <n v="0.14315271186583975"/>
    <x v="2"/>
    <x v="1"/>
    <n v="95435"/>
  </r>
  <r>
    <s v="Иванов Борис Максимович"/>
    <n v="0.15299123404302523"/>
    <x v="2"/>
    <x v="1"/>
    <n v="122078"/>
  </r>
  <r>
    <s v="Куликов Борис Максимович"/>
    <n v="0.15311356113482977"/>
    <x v="2"/>
    <x v="1"/>
    <n v="125704"/>
  </r>
  <r>
    <s v="Куликов Юрий Евгеньевич"/>
    <n v="0.1611328824306949"/>
    <x v="2"/>
    <x v="1"/>
    <n v="124878"/>
  </r>
  <r>
    <s v="Куликова Ксения Игоревна"/>
    <n v="0.19222564329766245"/>
    <x v="2"/>
    <x v="1"/>
    <n v="115363"/>
  </r>
  <r>
    <s v="Михайлов Антон Иванович"/>
    <n v="0.1552893952373032"/>
    <x v="2"/>
    <x v="1"/>
    <n v="121928"/>
  </r>
  <r>
    <s v="Михайлова Марина Ильинична"/>
    <n v="0.10521394691163193"/>
    <x v="2"/>
    <x v="1"/>
    <n v="117071"/>
  </r>
  <r>
    <s v="Никитин Николай Андреевич"/>
    <n v="0.13608229798152016"/>
    <x v="2"/>
    <x v="1"/>
    <n v="117001"/>
  </r>
  <r>
    <s v="Павлов Виктор Сергеевич"/>
    <n v="0.11587990889611434"/>
    <x v="2"/>
    <x v="1"/>
    <n v="125189"/>
  </r>
  <r>
    <s v="Сидорова Ксения Игоревна"/>
    <n v="0.18121949574361851"/>
    <x v="2"/>
    <x v="1"/>
    <n v="122852"/>
  </r>
  <r>
    <s v="Яковлева Ольга Владимировна"/>
    <n v="0.18794510197311418"/>
    <x v="2"/>
    <x v="1"/>
    <n v="111910"/>
  </r>
  <r>
    <s v="Андреев Артем Николаевич"/>
    <n v="0.65074029726638472"/>
    <x v="2"/>
    <x v="2"/>
    <n v="125135"/>
  </r>
  <r>
    <s v="Борисов Владимир Игоревич"/>
    <n v="0.63180362418477609"/>
    <x v="2"/>
    <x v="2"/>
    <n v="124273"/>
  </r>
  <r>
    <s v="Васильев Михаил Александрович"/>
    <n v="0.60488421800019176"/>
    <x v="2"/>
    <x v="2"/>
    <n v="122028"/>
  </r>
  <r>
    <s v="Куликова Людмила Игоревна"/>
    <n v="0.59085947642069947"/>
    <x v="2"/>
    <x v="2"/>
    <n v="124952"/>
  </r>
  <r>
    <s v="Никитина Алина Антоновна"/>
    <n v="0.59152016276991726"/>
    <x v="2"/>
    <x v="2"/>
    <n v="110007"/>
  </r>
  <r>
    <s v="Новиков Никита Артемович"/>
    <n v="0.85135240434389692"/>
    <x v="2"/>
    <x v="2"/>
    <n v="98585"/>
  </r>
  <r>
    <s v="Семенова Валерия Павловна"/>
    <n v="0.67360990840486945"/>
    <x v="2"/>
    <x v="2"/>
    <n v="105608"/>
  </r>
  <r>
    <s v="Сидорова Софья Дмитриевна"/>
    <n v="0.66157531943198078"/>
    <x v="2"/>
    <x v="2"/>
    <n v="106272"/>
  </r>
  <r>
    <s v="Соколова Мария Олеговна"/>
    <n v="0.62083343108519207"/>
    <x v="2"/>
    <x v="2"/>
    <n v="116604"/>
  </r>
  <r>
    <s v="Соловьева Анна Антоновна"/>
    <n v="0.7126006676061386"/>
    <x v="2"/>
    <x v="2"/>
    <n v="100600"/>
  </r>
  <r>
    <s v="Яковлев Дмитрий Олегович"/>
    <n v="0.50576642211098521"/>
    <x v="2"/>
    <x v="2"/>
    <n v="125352"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  <r>
    <m/>
    <m/>
    <x v="3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1" cacheId="36" applyNumberFormats="0" applyBorderFormats="0" applyFontFormats="0" applyPatternFormats="0" applyAlignmentFormats="0" applyWidthHeightFormats="1" dataCaption="Значения" updatedVersion="6" minRefreshableVersion="3" rowGrandTotals="0" colGrandTotals="0" itemPrintTitles="1" createdVersion="6" indent="0" outline="1" outlineData="1" multipleFieldFilters="0">
  <location ref="A22:C42" firstHeaderRow="0" firstDataRow="1" firstDataCol="1"/>
  <pivotFields count="7">
    <pivotField axis="axisRow" showAll="0" sortType="descending">
      <items count="22">
        <item x="17"/>
        <item x="0"/>
        <item x="1"/>
        <item x="2"/>
        <item x="3"/>
        <item x="13"/>
        <item x="4"/>
        <item x="16"/>
        <item x="11"/>
        <item x="14"/>
        <item x="9"/>
        <item x="10"/>
        <item x="18"/>
        <item x="5"/>
        <item x="15"/>
        <item x="12"/>
        <item x="6"/>
        <item x="19"/>
        <item x="7"/>
        <item x="8"/>
        <item h="1"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dataField="1" dragToRow="0" dragToCol="0" dragToPage="0" showAll="0" defaultSubtotal="0"/>
    <pivotField dragToRow="0" dragToCol="0" dragToPage="0"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20">
    <i>
      <x v="19"/>
    </i>
    <i>
      <x v="18"/>
    </i>
    <i>
      <x v="3"/>
    </i>
    <i>
      <x v="16"/>
    </i>
    <i>
      <x v="13"/>
    </i>
    <i>
      <x v="10"/>
    </i>
    <i>
      <x v="5"/>
    </i>
    <i>
      <x v="8"/>
    </i>
    <i>
      <x v="1"/>
    </i>
    <i>
      <x v="15"/>
    </i>
    <i>
      <x v="6"/>
    </i>
    <i>
      <x v="9"/>
    </i>
    <i>
      <x v="4"/>
    </i>
    <i>
      <x v="11"/>
    </i>
    <i>
      <x v="14"/>
    </i>
    <i>
      <x v="12"/>
    </i>
    <i>
      <x/>
    </i>
    <i>
      <x v="7"/>
    </i>
    <i>
      <x v="2"/>
    </i>
    <i>
      <x v="17"/>
    </i>
  </rowItems>
  <colFields count="1">
    <field x="-2"/>
  </colFields>
  <colItems count="2">
    <i>
      <x/>
    </i>
    <i i="1">
      <x v="1"/>
    </i>
  </colItems>
  <dataFields count="2">
    <dataField name="Сумма по полю Сумма сделки" fld="3" baseField="0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  <dataField name="Номер" fld="4" showDataAs="runTotal" baseField="0" baseItem="1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3" cacheId="36" applyNumberFormats="0" applyBorderFormats="0" applyFontFormats="0" applyPatternFormats="0" applyAlignmentFormats="0" applyWidthHeightFormats="1" dataCaption="Значения" updatedVersion="6" minRefreshableVersion="3" rowGrandTotals="0" colGrandTotals="0" itemPrintTitles="1" createdVersion="6" indent="0" outline="1" outlineData="1" multipleFieldFilters="0">
  <location ref="A22:C42" firstHeaderRow="0" firstDataRow="1" firstDataCol="1"/>
  <pivotFields count="7">
    <pivotField axis="axisRow" dataField="1" showAll="0" sortType="descending">
      <items count="22">
        <item x="17"/>
        <item x="0"/>
        <item x="1"/>
        <item x="2"/>
        <item x="3"/>
        <item x="13"/>
        <item x="4"/>
        <item x="16"/>
        <item x="11"/>
        <item x="14"/>
        <item x="9"/>
        <item x="10"/>
        <item x="18"/>
        <item x="5"/>
        <item x="15"/>
        <item x="12"/>
        <item x="6"/>
        <item x="19"/>
        <item x="7"/>
        <item x="8"/>
        <item h="1"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dragToRow="0" dragToCol="0" dragToPage="0" showAll="0" defaultSubtotal="0"/>
    <pivotField dataField="1" dragToRow="0" dragToCol="0" dragToPage="0"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20">
    <i>
      <x v="19"/>
    </i>
    <i>
      <x v="18"/>
    </i>
    <i>
      <x v="3"/>
    </i>
    <i>
      <x v="16"/>
    </i>
    <i>
      <x v="13"/>
    </i>
    <i>
      <x v="10"/>
    </i>
    <i>
      <x v="5"/>
    </i>
    <i>
      <x v="8"/>
    </i>
    <i>
      <x v="1"/>
    </i>
    <i>
      <x v="15"/>
    </i>
    <i>
      <x v="6"/>
    </i>
    <i>
      <x v="9"/>
    </i>
    <i>
      <x v="4"/>
    </i>
    <i>
      <x v="11"/>
    </i>
    <i>
      <x v="14"/>
    </i>
    <i>
      <x/>
    </i>
    <i>
      <x v="12"/>
    </i>
    <i>
      <x v="7"/>
    </i>
    <i>
      <x v="2"/>
    </i>
    <i>
      <x v="17"/>
    </i>
  </rowItems>
  <colFields count="1">
    <field x="-2"/>
  </colFields>
  <colItems count="2">
    <i>
      <x/>
    </i>
    <i i="1">
      <x v="1"/>
    </i>
  </colItems>
  <dataFields count="2">
    <dataField name="Количество по полю ФИО менеджера" fld="0" subtotal="count" baseField="0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  <dataField name="Номер" fld="5" showDataAs="runTotal" baseField="0" baseItem="1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Сводная таблица9" cacheId="35" applyNumberFormats="0" applyBorderFormats="0" applyFontFormats="0" applyPatternFormats="0" applyAlignmentFormats="0" applyWidthHeightFormats="1" dataCaption="Значения" updatedVersion="6" minRefreshableVersion="3" rowGrandTotals="0" colGrandTotals="0" itemPrintTitles="1" createdVersion="6" indent="0" outline="1" outlineData="1" multipleFieldFilters="0">
  <location ref="R2:U6" firstHeaderRow="1" firstDataRow="2" firstDataCol="1"/>
  <pivotFields count="5">
    <pivotField showAll="0"/>
    <pivotField showAll="0"/>
    <pivotField axis="axisRow" showAll="0">
      <items count="5">
        <item x="0"/>
        <item x="1"/>
        <item x="2"/>
        <item h="1" x="3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2"/>
  </rowFields>
  <rowItems count="3">
    <i>
      <x/>
    </i>
    <i>
      <x v="1"/>
    </i>
    <i>
      <x v="2"/>
    </i>
  </rowItems>
  <colFields count="1">
    <field x="3"/>
  </colFields>
  <colItems count="3">
    <i>
      <x/>
    </i>
    <i>
      <x v="1"/>
    </i>
    <i>
      <x v="2"/>
    </i>
  </colItems>
  <dataFields count="1">
    <dataField name="Сумма по полю Сумма" fld="4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Сводная таблица8" cacheId="36" applyNumberFormats="0" applyBorderFormats="0" applyFontFormats="0" applyPatternFormats="0" applyAlignmentFormats="0" applyWidthHeightFormats="1" dataCaption="Значения" updatedVersion="6" minRefreshableVersion="3" rowGrandTotals="0" colGrandTotals="0" itemPrintTitles="1" createdVersion="6" indent="0" outline="1" outlineData="1" multipleFieldFilters="0">
  <location ref="A1:B238" firstHeaderRow="1" firstDataRow="1" firstDataCol="1"/>
  <pivotFields count="7">
    <pivotField showAll="0"/>
    <pivotField axis="axisRow" showAll="0">
      <items count="239">
        <item x="97"/>
        <item x="55"/>
        <item x="181"/>
        <item x="48"/>
        <item x="166"/>
        <item x="30"/>
        <item x="224"/>
        <item x="222"/>
        <item x="169"/>
        <item x="47"/>
        <item x="75"/>
        <item x="191"/>
        <item x="87"/>
        <item x="125"/>
        <item x="6"/>
        <item x="66"/>
        <item x="136"/>
        <item x="42"/>
        <item x="37"/>
        <item x="146"/>
        <item x="168"/>
        <item x="43"/>
        <item x="21"/>
        <item x="223"/>
        <item x="202"/>
        <item x="227"/>
        <item x="9"/>
        <item x="110"/>
        <item x="63"/>
        <item x="170"/>
        <item x="117"/>
        <item x="156"/>
        <item x="95"/>
        <item x="217"/>
        <item x="216"/>
        <item x="131"/>
        <item x="25"/>
        <item x="149"/>
        <item x="192"/>
        <item x="0"/>
        <item x="64"/>
        <item x="154"/>
        <item x="32"/>
        <item x="53"/>
        <item x="51"/>
        <item x="104"/>
        <item x="215"/>
        <item x="88"/>
        <item x="68"/>
        <item x="27"/>
        <item x="139"/>
        <item x="128"/>
        <item x="22"/>
        <item x="74"/>
        <item x="129"/>
        <item x="102"/>
        <item x="5"/>
        <item x="187"/>
        <item x="164"/>
        <item x="100"/>
        <item x="56"/>
        <item x="71"/>
        <item x="172"/>
        <item x="52"/>
        <item x="133"/>
        <item x="94"/>
        <item x="209"/>
        <item x="157"/>
        <item x="35"/>
        <item x="186"/>
        <item x="50"/>
        <item x="16"/>
        <item x="81"/>
        <item x="39"/>
        <item x="54"/>
        <item x="28"/>
        <item x="207"/>
        <item x="201"/>
        <item x="65"/>
        <item x="14"/>
        <item x="178"/>
        <item x="179"/>
        <item x="210"/>
        <item x="190"/>
        <item x="140"/>
        <item x="36"/>
        <item x="127"/>
        <item x="228"/>
        <item x="171"/>
        <item x="15"/>
        <item x="141"/>
        <item x="90"/>
        <item x="78"/>
        <item x="208"/>
        <item x="40"/>
        <item x="96"/>
        <item x="70"/>
        <item x="109"/>
        <item x="92"/>
        <item x="167"/>
        <item x="7"/>
        <item x="194"/>
        <item x="118"/>
        <item x="230"/>
        <item x="18"/>
        <item x="23"/>
        <item x="124"/>
        <item x="107"/>
        <item x="177"/>
        <item x="200"/>
        <item x="2"/>
        <item x="91"/>
        <item x="143"/>
        <item x="214"/>
        <item x="205"/>
        <item x="105"/>
        <item x="126"/>
        <item x="98"/>
        <item x="122"/>
        <item x="72"/>
        <item x="119"/>
        <item x="57"/>
        <item x="121"/>
        <item x="31"/>
        <item x="147"/>
        <item x="114"/>
        <item x="150"/>
        <item x="155"/>
        <item x="61"/>
        <item x="44"/>
        <item x="159"/>
        <item x="62"/>
        <item x="163"/>
        <item x="160"/>
        <item x="58"/>
        <item x="106"/>
        <item x="134"/>
        <item x="108"/>
        <item x="29"/>
        <item x="152"/>
        <item x="236"/>
        <item x="137"/>
        <item x="229"/>
        <item x="144"/>
        <item x="196"/>
        <item x="12"/>
        <item x="189"/>
        <item x="195"/>
        <item x="220"/>
        <item x="26"/>
        <item x="82"/>
        <item x="206"/>
        <item x="33"/>
        <item x="138"/>
        <item x="10"/>
        <item x="45"/>
        <item x="151"/>
        <item x="112"/>
        <item x="180"/>
        <item x="76"/>
        <item x="211"/>
        <item x="24"/>
        <item x="188"/>
        <item x="234"/>
        <item x="231"/>
        <item x="113"/>
        <item x="198"/>
        <item x="20"/>
        <item x="73"/>
        <item x="197"/>
        <item x="49"/>
        <item x="130"/>
        <item x="182"/>
        <item x="38"/>
        <item x="34"/>
        <item x="11"/>
        <item x="115"/>
        <item x="158"/>
        <item x="103"/>
        <item x="161"/>
        <item x="132"/>
        <item x="221"/>
        <item x="148"/>
        <item x="4"/>
        <item x="60"/>
        <item x="101"/>
        <item x="8"/>
        <item x="46"/>
        <item x="184"/>
        <item x="135"/>
        <item x="59"/>
        <item x="83"/>
        <item x="218"/>
        <item x="213"/>
        <item x="199"/>
        <item x="85"/>
        <item x="185"/>
        <item x="93"/>
        <item x="19"/>
        <item x="13"/>
        <item x="175"/>
        <item x="183"/>
        <item x="86"/>
        <item x="99"/>
        <item x="193"/>
        <item x="212"/>
        <item x="79"/>
        <item x="232"/>
        <item x="17"/>
        <item x="3"/>
        <item x="145"/>
        <item x="203"/>
        <item x="41"/>
        <item x="123"/>
        <item x="165"/>
        <item x="89"/>
        <item x="120"/>
        <item x="84"/>
        <item x="174"/>
        <item x="67"/>
        <item x="226"/>
        <item x="162"/>
        <item x="1"/>
        <item x="142"/>
        <item x="204"/>
        <item x="235"/>
        <item x="116"/>
        <item x="219"/>
        <item x="176"/>
        <item x="77"/>
        <item x="80"/>
        <item x="233"/>
        <item x="111"/>
        <item x="69"/>
        <item x="173"/>
        <item x="153"/>
        <item x="225"/>
        <item h="1" x="237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dragToRow="0" dragToCol="0" dragToPage="0" showAll="0" defaultSubtotal="0"/>
    <pivotField dragToRow="0" dragToCol="0" dragToPage="0" showAll="0" defaultSubtotal="0"/>
    <pivotField showAll="0" defaultSubtotal="0">
      <items count="14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2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</rowItems>
  <colItems count="1">
    <i/>
  </colItems>
  <dataFields count="1">
    <dataField name="Сумма по полю Сумма сделки" fld="3" baseField="1" baseItem="0"/>
  </dataFields>
  <formats count="2">
    <format dxfId="5">
      <pivotArea dataOnly="0" labelOnly="1" fieldPosition="0">
        <references count="1">
          <reference field="1" count="1">
            <x v="0"/>
          </reference>
        </references>
      </pivotArea>
    </format>
    <format dxfId="6">
      <pivotArea dataOnly="0" labelOnly="1" fieldPosition="0">
        <references count="1">
          <reference field="1" count="1">
            <x v="2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zoomScale="115" zoomScaleNormal="115" workbookViewId="0">
      <selection activeCell="K38" sqref="K38"/>
    </sheetView>
  </sheetViews>
  <sheetFormatPr defaultRowHeight="15"/>
  <cols>
    <col min="1" max="1" width="29.42578125" bestFit="1" customWidth="1"/>
    <col min="2" max="2" width="19.28515625" customWidth="1"/>
  </cols>
  <sheetData>
    <row r="1" spans="4:15" ht="18">
      <c r="G1" s="23" t="s">
        <v>291</v>
      </c>
      <c r="K1" t="s">
        <v>293</v>
      </c>
      <c r="L1" t="s">
        <v>294</v>
      </c>
      <c r="O1" t="s">
        <v>299</v>
      </c>
    </row>
    <row r="2" spans="4:15">
      <c r="G2" s="24">
        <v>0</v>
      </c>
      <c r="H2" s="24">
        <v>0</v>
      </c>
      <c r="K2" s="15">
        <v>0.2</v>
      </c>
      <c r="L2" s="15">
        <v>0.8249043484112476</v>
      </c>
    </row>
    <row r="3" spans="4:15">
      <c r="G3" s="24">
        <v>1</v>
      </c>
      <c r="H3" s="24">
        <v>1</v>
      </c>
      <c r="K3" s="25">
        <v>0.2</v>
      </c>
      <c r="L3" s="25">
        <v>0</v>
      </c>
    </row>
    <row r="4" spans="4:15">
      <c r="D4" s="25">
        <f>'ABC Менеджеры сумма'!D23</f>
        <v>0.05</v>
      </c>
    </row>
    <row r="6" spans="4:15" ht="18">
      <c r="G6" t="s">
        <v>21</v>
      </c>
      <c r="H6" t="s">
        <v>295</v>
      </c>
      <c r="K6" t="s">
        <v>297</v>
      </c>
      <c r="L6" t="s">
        <v>298</v>
      </c>
    </row>
    <row r="7" spans="4:15">
      <c r="G7" s="14">
        <v>0.2</v>
      </c>
      <c r="H7" s="14">
        <v>0.8249043484112476</v>
      </c>
      <c r="K7" s="15">
        <v>0.5</v>
      </c>
      <c r="L7" s="15">
        <v>0.95786539238001622</v>
      </c>
    </row>
    <row r="8" spans="4:15">
      <c r="G8" s="24">
        <v>1</v>
      </c>
      <c r="H8" s="24">
        <v>1</v>
      </c>
      <c r="K8" s="25">
        <v>0.5</v>
      </c>
      <c r="L8" s="25">
        <v>0</v>
      </c>
    </row>
    <row r="21" spans="1:10">
      <c r="D21" t="s">
        <v>287</v>
      </c>
      <c r="E21" t="s">
        <v>289</v>
      </c>
    </row>
    <row r="22" spans="1:10" ht="18">
      <c r="A22" s="10" t="s">
        <v>284</v>
      </c>
      <c r="B22" t="s">
        <v>285</v>
      </c>
      <c r="C22" t="s">
        <v>286</v>
      </c>
      <c r="D22" t="s">
        <v>21</v>
      </c>
      <c r="E22" t="s">
        <v>288</v>
      </c>
      <c r="F22" t="s">
        <v>290</v>
      </c>
      <c r="G22" t="s">
        <v>292</v>
      </c>
      <c r="H22" t="s">
        <v>295</v>
      </c>
      <c r="I22" t="s">
        <v>296</v>
      </c>
      <c r="J22" t="s">
        <v>17</v>
      </c>
    </row>
    <row r="23" spans="1:10">
      <c r="A23" s="11" t="s">
        <v>5</v>
      </c>
      <c r="B23" s="13">
        <v>0.42976038914599213</v>
      </c>
      <c r="C23" s="12">
        <v>1</v>
      </c>
      <c r="D23" s="16">
        <f>C23/MAX(C:C)</f>
        <v>0.05</v>
      </c>
      <c r="E23" s="20">
        <f>B23</f>
        <v>0.42976038914599213</v>
      </c>
      <c r="F23" s="25">
        <f>D23</f>
        <v>0.05</v>
      </c>
      <c r="G23" s="13">
        <f>E23-F23</f>
        <v>0.37976038914599214</v>
      </c>
      <c r="H23" s="15">
        <f>0.2189*D23+0.7811</f>
        <v>0.792045</v>
      </c>
      <c r="I23" s="13">
        <f>E23-H23</f>
        <v>-0.36228461085400787</v>
      </c>
      <c r="J23" t="s">
        <v>13</v>
      </c>
    </row>
    <row r="24" spans="1:10">
      <c r="A24" s="11" t="s">
        <v>9</v>
      </c>
      <c r="B24" s="13">
        <v>0.63148449135976847</v>
      </c>
      <c r="C24" s="12">
        <v>2</v>
      </c>
      <c r="D24" s="16">
        <f t="shared" ref="D24:D42" si="0">C24/MAX(C:C)</f>
        <v>0.1</v>
      </c>
      <c r="E24" s="20">
        <f t="shared" ref="E24:E42" si="1">B24</f>
        <v>0.63148449135976847</v>
      </c>
      <c r="F24" s="25">
        <f t="shared" ref="F24:F42" si="2">D24</f>
        <v>0.1</v>
      </c>
      <c r="G24" s="13">
        <f t="shared" ref="G24:G42" si="3">E24-F24</f>
        <v>0.5314844913597685</v>
      </c>
      <c r="H24" s="15">
        <f>0.2189*D24+0.7811</f>
        <v>0.80298999999999998</v>
      </c>
      <c r="I24" s="13">
        <f>E24-H24</f>
        <v>-0.17150550864023151</v>
      </c>
      <c r="J24" t="s">
        <v>13</v>
      </c>
    </row>
    <row r="25" spans="1:10">
      <c r="A25" s="11" t="s">
        <v>4</v>
      </c>
      <c r="B25" s="13">
        <v>0.75715126275488742</v>
      </c>
      <c r="C25" s="12">
        <v>3</v>
      </c>
      <c r="D25" s="16">
        <f t="shared" si="0"/>
        <v>0.15</v>
      </c>
      <c r="E25" s="20">
        <f t="shared" si="1"/>
        <v>0.75715126275488742</v>
      </c>
      <c r="F25" s="25">
        <f t="shared" si="2"/>
        <v>0.15</v>
      </c>
      <c r="G25" s="13">
        <f t="shared" si="3"/>
        <v>0.6071512627548874</v>
      </c>
      <c r="H25" s="15">
        <f>0.2189*D25+0.7811</f>
        <v>0.81393500000000008</v>
      </c>
      <c r="I25" s="13">
        <f>E25-H25</f>
        <v>-5.6783737245112653E-2</v>
      </c>
      <c r="J25" t="s">
        <v>13</v>
      </c>
    </row>
    <row r="26" spans="1:10">
      <c r="A26" s="11" t="s">
        <v>7</v>
      </c>
      <c r="B26" s="13">
        <v>0.8249043484112476</v>
      </c>
      <c r="C26" s="12">
        <v>4</v>
      </c>
      <c r="D26" s="16">
        <f t="shared" si="0"/>
        <v>0.2</v>
      </c>
      <c r="E26" s="21">
        <f t="shared" si="1"/>
        <v>0.8249043484112476</v>
      </c>
      <c r="F26" s="25">
        <f t="shared" si="2"/>
        <v>0.2</v>
      </c>
      <c r="G26" s="13">
        <f t="shared" si="3"/>
        <v>0.62490434841124753</v>
      </c>
      <c r="H26" s="15">
        <f>0.2189*D26+0.7811</f>
        <v>0.82488000000000006</v>
      </c>
      <c r="I26" s="13">
        <f>E26-H26</f>
        <v>2.4348411247543389E-5</v>
      </c>
      <c r="J26" t="s">
        <v>13</v>
      </c>
    </row>
    <row r="27" spans="1:10">
      <c r="A27" s="11" t="s">
        <v>6</v>
      </c>
      <c r="B27" s="13">
        <v>0.86520568984222901</v>
      </c>
      <c r="C27" s="12">
        <v>5</v>
      </c>
      <c r="D27" s="18">
        <f t="shared" si="0"/>
        <v>0.25</v>
      </c>
      <c r="E27" s="21">
        <f t="shared" si="1"/>
        <v>0.86520568984222901</v>
      </c>
      <c r="F27" s="25">
        <f t="shared" si="2"/>
        <v>0.25</v>
      </c>
      <c r="G27" s="13">
        <f t="shared" si="3"/>
        <v>0.61520568984222901</v>
      </c>
      <c r="H27" s="15">
        <f>0.2189*D27+0.7811</f>
        <v>0.83582500000000004</v>
      </c>
      <c r="I27" s="13">
        <f>E27-H27</f>
        <v>2.9380689842228969E-2</v>
      </c>
      <c r="J27" t="s">
        <v>14</v>
      </c>
    </row>
    <row r="28" spans="1:10">
      <c r="A28" s="11" t="s">
        <v>8</v>
      </c>
      <c r="B28" s="13">
        <v>0.89385015944616042</v>
      </c>
      <c r="C28" s="12">
        <v>6</v>
      </c>
      <c r="D28" s="18">
        <f t="shared" si="0"/>
        <v>0.3</v>
      </c>
      <c r="E28" s="21">
        <f t="shared" si="1"/>
        <v>0.89385015944616042</v>
      </c>
      <c r="F28" s="25">
        <f t="shared" si="2"/>
        <v>0.3</v>
      </c>
      <c r="G28" s="13">
        <f t="shared" si="3"/>
        <v>0.59385015944616049</v>
      </c>
      <c r="H28" s="15">
        <f>0.2189*D28+0.7811</f>
        <v>0.84677000000000002</v>
      </c>
      <c r="I28" s="13">
        <f>E28-H28</f>
        <v>4.7080159446160397E-2</v>
      </c>
      <c r="J28" t="s">
        <v>14</v>
      </c>
    </row>
    <row r="29" spans="1:10">
      <c r="A29" s="11" t="s">
        <v>25</v>
      </c>
      <c r="B29" s="13">
        <v>0.91483726701871648</v>
      </c>
      <c r="C29" s="12">
        <v>7</v>
      </c>
      <c r="D29" s="18">
        <f t="shared" si="0"/>
        <v>0.35</v>
      </c>
      <c r="E29" s="21">
        <f t="shared" si="1"/>
        <v>0.91483726701871648</v>
      </c>
      <c r="F29" s="25">
        <f t="shared" si="2"/>
        <v>0.35</v>
      </c>
      <c r="G29" s="13">
        <f t="shared" si="3"/>
        <v>0.5648372670187165</v>
      </c>
      <c r="H29" s="15">
        <f>0.2189*D29+0.7811</f>
        <v>0.85771500000000001</v>
      </c>
      <c r="I29" s="13">
        <f>E29-H29</f>
        <v>5.7122267018716477E-2</v>
      </c>
      <c r="J29" t="s">
        <v>14</v>
      </c>
    </row>
    <row r="30" spans="1:10">
      <c r="A30" s="11" t="s">
        <v>26</v>
      </c>
      <c r="B30" s="13">
        <v>0.93309380987732182</v>
      </c>
      <c r="C30" s="12">
        <v>8</v>
      </c>
      <c r="D30" s="18">
        <f t="shared" si="0"/>
        <v>0.4</v>
      </c>
      <c r="E30" s="21">
        <f t="shared" si="1"/>
        <v>0.93309380987732182</v>
      </c>
      <c r="F30" s="25">
        <f t="shared" si="2"/>
        <v>0.4</v>
      </c>
      <c r="G30" s="13">
        <f t="shared" si="3"/>
        <v>0.5330938098773218</v>
      </c>
      <c r="H30" s="15">
        <f>0.2189*D30+0.7811</f>
        <v>0.86865999999999999</v>
      </c>
      <c r="I30" s="13">
        <f>E30-H30</f>
        <v>6.4433809877321835E-2</v>
      </c>
      <c r="J30" t="s">
        <v>14</v>
      </c>
    </row>
    <row r="31" spans="1:10">
      <c r="A31" s="11" t="s">
        <v>27</v>
      </c>
      <c r="B31" s="13">
        <v>0.94662138659993633</v>
      </c>
      <c r="C31" s="12">
        <v>9</v>
      </c>
      <c r="D31" s="18">
        <f t="shared" si="0"/>
        <v>0.45</v>
      </c>
      <c r="E31" s="21">
        <f t="shared" si="1"/>
        <v>0.94662138659993633</v>
      </c>
      <c r="F31" s="25">
        <f t="shared" si="2"/>
        <v>0.45</v>
      </c>
      <c r="G31" s="13">
        <f t="shared" si="3"/>
        <v>0.49662138659993632</v>
      </c>
      <c r="H31" s="15">
        <f>0.2189*D31+0.7811</f>
        <v>0.87960499999999997</v>
      </c>
      <c r="I31" s="13">
        <f>E31-H31</f>
        <v>6.7016386599936362E-2</v>
      </c>
      <c r="J31" t="s">
        <v>14</v>
      </c>
    </row>
    <row r="32" spans="1:10">
      <c r="A32" s="11" t="s">
        <v>29</v>
      </c>
      <c r="B32" s="13">
        <v>0.95786539238001622</v>
      </c>
      <c r="C32" s="12">
        <v>10</v>
      </c>
      <c r="D32" s="18">
        <f t="shared" si="0"/>
        <v>0.5</v>
      </c>
      <c r="E32" s="22">
        <f t="shared" si="1"/>
        <v>0.95786539238001622</v>
      </c>
      <c r="F32" s="25">
        <f t="shared" si="2"/>
        <v>0.5</v>
      </c>
      <c r="G32" s="13">
        <f t="shared" si="3"/>
        <v>0.45786539238001622</v>
      </c>
      <c r="H32" s="15">
        <f>0.2189*D32+0.7811</f>
        <v>0.89055000000000006</v>
      </c>
      <c r="I32" s="13">
        <f>E32-H32</f>
        <v>6.7315392380016159E-2</v>
      </c>
      <c r="J32" t="s">
        <v>14</v>
      </c>
    </row>
    <row r="33" spans="1:10">
      <c r="A33" s="11" t="s">
        <v>28</v>
      </c>
      <c r="B33" s="13">
        <v>0.96670485332707168</v>
      </c>
      <c r="C33" s="12">
        <v>11</v>
      </c>
      <c r="D33" s="19">
        <f t="shared" si="0"/>
        <v>0.55000000000000004</v>
      </c>
      <c r="E33" s="22">
        <f t="shared" si="1"/>
        <v>0.96670485332707168</v>
      </c>
      <c r="F33" s="25">
        <f t="shared" si="2"/>
        <v>0.55000000000000004</v>
      </c>
      <c r="G33" s="13">
        <f t="shared" si="3"/>
        <v>0.41670485332707163</v>
      </c>
      <c r="H33" s="15">
        <f>0.2189*D33+0.7811</f>
        <v>0.90149500000000005</v>
      </c>
      <c r="I33" s="13">
        <f>E33-H33</f>
        <v>6.5209853327071632E-2</v>
      </c>
      <c r="J33" t="s">
        <v>15</v>
      </c>
    </row>
    <row r="34" spans="1:10">
      <c r="A34" s="11" t="s">
        <v>30</v>
      </c>
      <c r="B34" s="13">
        <v>0.97494218533052368</v>
      </c>
      <c r="C34" s="12">
        <v>12</v>
      </c>
      <c r="D34" s="19">
        <f t="shared" si="0"/>
        <v>0.6</v>
      </c>
      <c r="E34" s="22">
        <f t="shared" si="1"/>
        <v>0.97494218533052368</v>
      </c>
      <c r="F34" s="25">
        <f t="shared" si="2"/>
        <v>0.6</v>
      </c>
      <c r="G34" s="13">
        <f t="shared" si="3"/>
        <v>0.3749421853305237</v>
      </c>
      <c r="H34" s="15">
        <f>0.2189*D34+0.7811</f>
        <v>0.91244000000000003</v>
      </c>
      <c r="I34" s="13">
        <f>E34-H34</f>
        <v>6.2502185330523652E-2</v>
      </c>
      <c r="J34" t="s">
        <v>15</v>
      </c>
    </row>
    <row r="35" spans="1:10">
      <c r="A35" s="11" t="s">
        <v>31</v>
      </c>
      <c r="B35" s="13">
        <v>0.9818609634492631</v>
      </c>
      <c r="C35" s="12">
        <v>13</v>
      </c>
      <c r="D35" s="19">
        <f t="shared" si="0"/>
        <v>0.65</v>
      </c>
      <c r="E35" s="22">
        <f t="shared" si="1"/>
        <v>0.9818609634492631</v>
      </c>
      <c r="F35" s="25">
        <f t="shared" si="2"/>
        <v>0.65</v>
      </c>
      <c r="G35" s="13">
        <f t="shared" si="3"/>
        <v>0.33186096344926308</v>
      </c>
      <c r="H35" s="15">
        <f>0.2189*D35+0.7811</f>
        <v>0.92338500000000001</v>
      </c>
      <c r="I35" s="13">
        <f>E35-H35</f>
        <v>5.8475963449263091E-2</v>
      </c>
      <c r="J35" t="s">
        <v>15</v>
      </c>
    </row>
    <row r="36" spans="1:10">
      <c r="A36" s="11" t="s">
        <v>32</v>
      </c>
      <c r="B36" s="13">
        <v>0.98680084809464608</v>
      </c>
      <c r="C36" s="12">
        <v>14</v>
      </c>
      <c r="D36" s="19">
        <f t="shared" si="0"/>
        <v>0.7</v>
      </c>
      <c r="E36" s="22">
        <f t="shared" si="1"/>
        <v>0.98680084809464608</v>
      </c>
      <c r="F36" s="25">
        <f t="shared" si="2"/>
        <v>0.7</v>
      </c>
      <c r="G36" s="13">
        <f t="shared" si="3"/>
        <v>0.28680084809464612</v>
      </c>
      <c r="H36" s="15">
        <f>0.2189*D36+0.7811</f>
        <v>0.93432999999999999</v>
      </c>
      <c r="I36" s="13">
        <f>E36-H36</f>
        <v>5.2470848094646083E-2</v>
      </c>
      <c r="J36" t="s">
        <v>15</v>
      </c>
    </row>
    <row r="37" spans="1:10">
      <c r="A37" s="11" t="s">
        <v>33</v>
      </c>
      <c r="B37" s="13">
        <v>0.99046513213682197</v>
      </c>
      <c r="C37" s="12">
        <v>15</v>
      </c>
      <c r="D37" s="19">
        <f t="shared" si="0"/>
        <v>0.75</v>
      </c>
      <c r="E37" s="22">
        <f t="shared" si="1"/>
        <v>0.99046513213682197</v>
      </c>
      <c r="F37" s="25">
        <f t="shared" si="2"/>
        <v>0.75</v>
      </c>
      <c r="G37" s="13">
        <f t="shared" si="3"/>
        <v>0.24046513213682197</v>
      </c>
      <c r="H37" s="15">
        <f>0.2189*D37+0.7811</f>
        <v>0.94527500000000009</v>
      </c>
      <c r="I37" s="13">
        <f>E37-H37</f>
        <v>4.5190132136821881E-2</v>
      </c>
      <c r="J37" t="s">
        <v>15</v>
      </c>
    </row>
    <row r="38" spans="1:10">
      <c r="A38" s="11" t="s">
        <v>34</v>
      </c>
      <c r="B38" s="13">
        <v>0.99356681767727983</v>
      </c>
      <c r="C38" s="12">
        <v>16</v>
      </c>
      <c r="D38" s="19">
        <f t="shared" si="0"/>
        <v>0.8</v>
      </c>
      <c r="E38" s="22">
        <f t="shared" si="1"/>
        <v>0.99356681767727983</v>
      </c>
      <c r="F38" s="25">
        <f t="shared" si="2"/>
        <v>0.8</v>
      </c>
      <c r="G38" s="13">
        <f t="shared" si="3"/>
        <v>0.19356681767727979</v>
      </c>
      <c r="H38" s="15">
        <f>0.2189*D38+0.7811</f>
        <v>0.95622000000000007</v>
      </c>
      <c r="I38" s="13">
        <f>E38-H38</f>
        <v>3.7346817677279764E-2</v>
      </c>
      <c r="J38" t="s">
        <v>15</v>
      </c>
    </row>
    <row r="39" spans="1:10">
      <c r="A39" s="11" t="s">
        <v>35</v>
      </c>
      <c r="B39" s="13">
        <v>0.99605853306310943</v>
      </c>
      <c r="C39" s="12">
        <v>17</v>
      </c>
      <c r="D39" s="19">
        <f t="shared" si="0"/>
        <v>0.85</v>
      </c>
      <c r="E39" s="22">
        <f t="shared" si="1"/>
        <v>0.99605853306310943</v>
      </c>
      <c r="F39" s="25">
        <f t="shared" si="2"/>
        <v>0.85</v>
      </c>
      <c r="G39" s="13">
        <f t="shared" si="3"/>
        <v>0.14605853306310945</v>
      </c>
      <c r="H39" s="15">
        <f>0.2189*D39+0.7811</f>
        <v>0.96716500000000005</v>
      </c>
      <c r="I39" s="13">
        <f>E39-H39</f>
        <v>2.8893533063109378E-2</v>
      </c>
      <c r="J39" t="s">
        <v>15</v>
      </c>
    </row>
    <row r="40" spans="1:10">
      <c r="A40" s="11" t="s">
        <v>36</v>
      </c>
      <c r="B40" s="13">
        <v>0.9976400415680382</v>
      </c>
      <c r="C40" s="12">
        <v>18</v>
      </c>
      <c r="D40" s="19">
        <f t="shared" si="0"/>
        <v>0.9</v>
      </c>
      <c r="E40" s="22">
        <f t="shared" si="1"/>
        <v>0.9976400415680382</v>
      </c>
      <c r="F40" s="25">
        <f t="shared" si="2"/>
        <v>0.9</v>
      </c>
      <c r="G40" s="13">
        <f t="shared" si="3"/>
        <v>9.7640041568038183E-2</v>
      </c>
      <c r="H40" s="15">
        <f>0.2189*D40+0.7811</f>
        <v>0.97811000000000003</v>
      </c>
      <c r="I40" s="13">
        <f>E40-H40</f>
        <v>1.953004156803817E-2</v>
      </c>
      <c r="J40" t="s">
        <v>15</v>
      </c>
    </row>
    <row r="41" spans="1:10">
      <c r="A41" s="11" t="s">
        <v>38</v>
      </c>
      <c r="B41" s="13">
        <v>0.99894903163616566</v>
      </c>
      <c r="C41" s="12">
        <v>19</v>
      </c>
      <c r="D41" s="19">
        <f t="shared" si="0"/>
        <v>0.95</v>
      </c>
      <c r="E41" s="22">
        <f t="shared" si="1"/>
        <v>0.99894903163616566</v>
      </c>
      <c r="F41" s="25">
        <f t="shared" si="2"/>
        <v>0.95</v>
      </c>
      <c r="G41" s="13">
        <f t="shared" si="3"/>
        <v>4.8949031636165707E-2</v>
      </c>
      <c r="H41" s="15">
        <f>0.2189*D41+0.7811</f>
        <v>0.98905500000000002</v>
      </c>
      <c r="I41" s="13">
        <f>E41-H41</f>
        <v>9.8940316361656455E-3</v>
      </c>
      <c r="J41" t="s">
        <v>15</v>
      </c>
    </row>
    <row r="42" spans="1:10">
      <c r="A42" s="11" t="s">
        <v>37</v>
      </c>
      <c r="B42" s="13">
        <v>1</v>
      </c>
      <c r="C42" s="12">
        <v>20</v>
      </c>
      <c r="D42" s="19">
        <f t="shared" si="0"/>
        <v>1</v>
      </c>
      <c r="E42" s="22">
        <f t="shared" si="1"/>
        <v>1</v>
      </c>
      <c r="F42" s="25">
        <f t="shared" si="2"/>
        <v>1</v>
      </c>
      <c r="G42" s="13">
        <f t="shared" si="3"/>
        <v>0</v>
      </c>
      <c r="H42" s="15">
        <f>0.2189*D42+0.7811</f>
        <v>1</v>
      </c>
      <c r="I42" s="13">
        <f>E42-H42</f>
        <v>0</v>
      </c>
      <c r="J42" t="s">
        <v>15</v>
      </c>
    </row>
  </sheetData>
  <conditionalFormatting sqref="G22:G42">
    <cfRule type="top10" dxfId="4" priority="1" rank="1"/>
    <cfRule type="top10" dxfId="3" priority="3" rank="1"/>
  </conditionalFormatting>
  <conditionalFormatting sqref="I23:I42">
    <cfRule type="top10" dxfId="2" priority="2" rank="1"/>
  </conditionalFormatting>
  <pageMargins left="0.7" right="0.7" top="0.75" bottom="0.75" header="0.3" footer="0.3"/>
  <pageSetup paperSize="9" orientation="portrait" horizontalDpi="0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2"/>
  <sheetViews>
    <sheetView workbookViewId="0">
      <selection activeCell="M31" sqref="M31"/>
    </sheetView>
  </sheetViews>
  <sheetFormatPr defaultRowHeight="15"/>
  <cols>
    <col min="1" max="1" width="29.42578125" bestFit="1" customWidth="1"/>
    <col min="2" max="2" width="43" customWidth="1"/>
  </cols>
  <sheetData>
    <row r="2" spans="8:12" ht="18">
      <c r="H2" t="s">
        <v>300</v>
      </c>
      <c r="I2" t="s">
        <v>290</v>
      </c>
      <c r="K2" t="s">
        <v>293</v>
      </c>
      <c r="L2" t="s">
        <v>294</v>
      </c>
    </row>
    <row r="3" spans="8:12">
      <c r="H3" s="24">
        <v>0</v>
      </c>
      <c r="I3" s="24">
        <v>0</v>
      </c>
      <c r="K3" s="15">
        <v>0.25</v>
      </c>
      <c r="L3" s="15">
        <v>0.7531380753138075</v>
      </c>
    </row>
    <row r="4" spans="8:12">
      <c r="H4" s="24">
        <v>1</v>
      </c>
      <c r="I4" s="24">
        <v>1</v>
      </c>
      <c r="K4" s="25">
        <f>K3</f>
        <v>0.25</v>
      </c>
      <c r="L4" s="24">
        <v>0</v>
      </c>
    </row>
    <row r="8" spans="8:12" ht="18">
      <c r="H8" t="s">
        <v>21</v>
      </c>
      <c r="I8" t="s">
        <v>295</v>
      </c>
      <c r="K8" t="s">
        <v>297</v>
      </c>
      <c r="L8" t="s">
        <v>298</v>
      </c>
    </row>
    <row r="9" spans="8:12">
      <c r="H9" s="15">
        <v>0.25</v>
      </c>
      <c r="I9" s="15">
        <v>0.7531380753138075</v>
      </c>
      <c r="K9" s="15">
        <v>0.6</v>
      </c>
      <c r="L9" s="15">
        <v>0.94700139470013944</v>
      </c>
    </row>
    <row r="10" spans="8:12">
      <c r="H10" s="24">
        <v>1</v>
      </c>
      <c r="I10" s="24">
        <v>1</v>
      </c>
      <c r="K10" s="25">
        <f>K9</f>
        <v>0.6</v>
      </c>
      <c r="L10" s="24">
        <v>0</v>
      </c>
    </row>
    <row r="21" spans="1:10">
      <c r="D21" t="s">
        <v>287</v>
      </c>
      <c r="E21" t="s">
        <v>289</v>
      </c>
    </row>
    <row r="22" spans="1:10" ht="18">
      <c r="A22" s="10" t="s">
        <v>284</v>
      </c>
      <c r="B22" t="s">
        <v>301</v>
      </c>
      <c r="C22" t="s">
        <v>286</v>
      </c>
      <c r="D22" t="s">
        <v>21</v>
      </c>
      <c r="E22" t="s">
        <v>288</v>
      </c>
      <c r="F22" t="s">
        <v>290</v>
      </c>
      <c r="G22" t="s">
        <v>292</v>
      </c>
      <c r="H22" t="s">
        <v>295</v>
      </c>
      <c r="I22" t="s">
        <v>296</v>
      </c>
      <c r="J22" t="s">
        <v>17</v>
      </c>
    </row>
    <row r="23" spans="1:10">
      <c r="A23" s="11" t="s">
        <v>5</v>
      </c>
      <c r="B23" s="13">
        <v>0.32949790794979078</v>
      </c>
      <c r="C23" s="12">
        <v>1</v>
      </c>
      <c r="D23" s="16">
        <f>C23/MAX(C:C)</f>
        <v>0.05</v>
      </c>
      <c r="E23" s="20">
        <f>B23</f>
        <v>0.32949790794979078</v>
      </c>
      <c r="F23" s="25">
        <f>D23</f>
        <v>0.05</v>
      </c>
      <c r="G23" s="13">
        <f>E23-F23</f>
        <v>0.27949790794979079</v>
      </c>
      <c r="H23" s="15">
        <f>0.3291*D23+0.6709</f>
        <v>0.68735500000000005</v>
      </c>
      <c r="I23" s="13">
        <f>E23-H23</f>
        <v>-0.35785709205020927</v>
      </c>
      <c r="J23" t="s">
        <v>13</v>
      </c>
    </row>
    <row r="24" spans="1:10">
      <c r="A24" s="11" t="s">
        <v>9</v>
      </c>
      <c r="B24" s="13">
        <v>0.5094142259414226</v>
      </c>
      <c r="C24" s="12">
        <v>2</v>
      </c>
      <c r="D24" s="16">
        <f t="shared" ref="D24:D42" si="0">C24/MAX(C:C)</f>
        <v>0.1</v>
      </c>
      <c r="E24" s="20">
        <f t="shared" ref="E24:E42" si="1">B24</f>
        <v>0.5094142259414226</v>
      </c>
      <c r="F24" s="25">
        <f t="shared" ref="F24:F42" si="2">D24</f>
        <v>0.1</v>
      </c>
      <c r="G24" s="13">
        <f t="shared" ref="G24:G42" si="3">E24-F24</f>
        <v>0.40941422594142263</v>
      </c>
      <c r="H24" s="15">
        <f t="shared" ref="H24:H42" si="4">0.3291*D24+0.6709</f>
        <v>0.70381000000000005</v>
      </c>
      <c r="I24" s="13">
        <f t="shared" ref="I24:I42" si="5">E24-H24</f>
        <v>-0.19439577405857744</v>
      </c>
      <c r="J24" t="s">
        <v>13</v>
      </c>
    </row>
    <row r="25" spans="1:10">
      <c r="A25" s="11" t="s">
        <v>4</v>
      </c>
      <c r="B25" s="13">
        <v>0.62377963737796371</v>
      </c>
      <c r="C25" s="12">
        <v>3</v>
      </c>
      <c r="D25" s="16">
        <f t="shared" si="0"/>
        <v>0.15</v>
      </c>
      <c r="E25" s="20">
        <f t="shared" si="1"/>
        <v>0.62377963737796371</v>
      </c>
      <c r="F25" s="25">
        <f t="shared" si="2"/>
        <v>0.15</v>
      </c>
      <c r="G25" s="13">
        <f t="shared" si="3"/>
        <v>0.47377963737796369</v>
      </c>
      <c r="H25" s="15">
        <f t="shared" si="4"/>
        <v>0.72026500000000004</v>
      </c>
      <c r="I25" s="13">
        <f t="shared" si="5"/>
        <v>-9.648536262203633E-2</v>
      </c>
      <c r="J25" t="s">
        <v>13</v>
      </c>
    </row>
    <row r="26" spans="1:10">
      <c r="A26" s="11" t="s">
        <v>7</v>
      </c>
      <c r="B26" s="13">
        <v>0.69944211994421202</v>
      </c>
      <c r="C26" s="12">
        <v>4</v>
      </c>
      <c r="D26" s="16">
        <f t="shared" si="0"/>
        <v>0.2</v>
      </c>
      <c r="E26" s="20">
        <f t="shared" si="1"/>
        <v>0.69944211994421202</v>
      </c>
      <c r="F26" s="25">
        <f t="shared" si="2"/>
        <v>0.2</v>
      </c>
      <c r="G26" s="13">
        <f t="shared" si="3"/>
        <v>0.499442119944212</v>
      </c>
      <c r="H26" s="15">
        <f t="shared" si="4"/>
        <v>0.73672000000000004</v>
      </c>
      <c r="I26" s="13">
        <f t="shared" si="5"/>
        <v>-3.7277880055788026E-2</v>
      </c>
      <c r="J26" t="s">
        <v>13</v>
      </c>
    </row>
    <row r="27" spans="1:10">
      <c r="A27" s="11" t="s">
        <v>6</v>
      </c>
      <c r="B27" s="13">
        <v>0.7531380753138075</v>
      </c>
      <c r="C27" s="12">
        <v>5</v>
      </c>
      <c r="D27" s="18">
        <f t="shared" si="0"/>
        <v>0.25</v>
      </c>
      <c r="E27" s="20">
        <f t="shared" si="1"/>
        <v>0.7531380753138075</v>
      </c>
      <c r="F27" s="25">
        <f t="shared" si="2"/>
        <v>0.25</v>
      </c>
      <c r="G27" s="13">
        <f t="shared" si="3"/>
        <v>0.5031380753138075</v>
      </c>
      <c r="H27" s="15">
        <f t="shared" si="4"/>
        <v>0.75317500000000004</v>
      </c>
      <c r="I27" s="13">
        <f t="shared" si="5"/>
        <v>-3.6924686192540968E-5</v>
      </c>
      <c r="J27" t="s">
        <v>13</v>
      </c>
    </row>
    <row r="28" spans="1:10">
      <c r="A28" s="11" t="s">
        <v>8</v>
      </c>
      <c r="B28" s="13">
        <v>0.79776847977684795</v>
      </c>
      <c r="C28" s="12">
        <v>6</v>
      </c>
      <c r="D28" s="18">
        <f t="shared" si="0"/>
        <v>0.3</v>
      </c>
      <c r="E28" s="20">
        <f t="shared" si="1"/>
        <v>0.79776847977684795</v>
      </c>
      <c r="F28" s="25">
        <f t="shared" si="2"/>
        <v>0.3</v>
      </c>
      <c r="G28" s="13">
        <f t="shared" si="3"/>
        <v>0.49776847977684796</v>
      </c>
      <c r="H28" s="15">
        <f t="shared" si="4"/>
        <v>0.76963000000000004</v>
      </c>
      <c r="I28" s="13">
        <f t="shared" si="5"/>
        <v>2.8138479776847913E-2</v>
      </c>
      <c r="J28" t="s">
        <v>14</v>
      </c>
    </row>
    <row r="29" spans="1:10">
      <c r="A29" s="11" t="s">
        <v>25</v>
      </c>
      <c r="B29" s="13">
        <v>0.8319386331938633</v>
      </c>
      <c r="C29" s="12">
        <v>7</v>
      </c>
      <c r="D29" s="18">
        <f t="shared" si="0"/>
        <v>0.35</v>
      </c>
      <c r="E29" s="21">
        <f t="shared" si="1"/>
        <v>0.8319386331938633</v>
      </c>
      <c r="F29" s="25">
        <f t="shared" si="2"/>
        <v>0.35</v>
      </c>
      <c r="G29" s="13">
        <f t="shared" si="3"/>
        <v>0.48193863319386332</v>
      </c>
      <c r="H29" s="15">
        <f t="shared" si="4"/>
        <v>0.78608500000000003</v>
      </c>
      <c r="I29" s="13">
        <f t="shared" si="5"/>
        <v>4.5853633193863264E-2</v>
      </c>
      <c r="J29" t="s">
        <v>14</v>
      </c>
    </row>
    <row r="30" spans="1:10">
      <c r="A30" s="11" t="s">
        <v>26</v>
      </c>
      <c r="B30" s="13">
        <v>0.86297071129707115</v>
      </c>
      <c r="C30" s="12">
        <v>8</v>
      </c>
      <c r="D30" s="18">
        <f t="shared" si="0"/>
        <v>0.4</v>
      </c>
      <c r="E30" s="21">
        <f t="shared" si="1"/>
        <v>0.86297071129707115</v>
      </c>
      <c r="F30" s="25">
        <f t="shared" si="2"/>
        <v>0.4</v>
      </c>
      <c r="G30" s="13">
        <f t="shared" si="3"/>
        <v>0.46297071129707112</v>
      </c>
      <c r="H30" s="15">
        <f t="shared" si="4"/>
        <v>0.80254000000000003</v>
      </c>
      <c r="I30" s="13">
        <f t="shared" si="5"/>
        <v>6.0430711297071116E-2</v>
      </c>
      <c r="J30" t="s">
        <v>14</v>
      </c>
    </row>
    <row r="31" spans="1:10">
      <c r="A31" s="11" t="s">
        <v>27</v>
      </c>
      <c r="B31" s="13">
        <v>0.88912133891213385</v>
      </c>
      <c r="C31" s="12">
        <v>9</v>
      </c>
      <c r="D31" s="18">
        <f t="shared" si="0"/>
        <v>0.45</v>
      </c>
      <c r="E31" s="21">
        <f t="shared" si="1"/>
        <v>0.88912133891213385</v>
      </c>
      <c r="F31" s="25">
        <f t="shared" si="2"/>
        <v>0.45</v>
      </c>
      <c r="G31" s="13">
        <f t="shared" si="3"/>
        <v>0.43912133891213384</v>
      </c>
      <c r="H31" s="15">
        <f t="shared" si="4"/>
        <v>0.81899500000000003</v>
      </c>
      <c r="I31" s="13">
        <f t="shared" si="5"/>
        <v>7.0126338912133823E-2</v>
      </c>
      <c r="J31" t="s">
        <v>14</v>
      </c>
    </row>
    <row r="32" spans="1:10">
      <c r="A32" s="11" t="s">
        <v>29</v>
      </c>
      <c r="B32" s="13">
        <v>0.9117852161785216</v>
      </c>
      <c r="C32" s="12">
        <v>10</v>
      </c>
      <c r="D32" s="18">
        <f t="shared" si="0"/>
        <v>0.5</v>
      </c>
      <c r="E32" s="21">
        <f t="shared" si="1"/>
        <v>0.9117852161785216</v>
      </c>
      <c r="F32" s="25">
        <f t="shared" si="2"/>
        <v>0.5</v>
      </c>
      <c r="G32" s="13">
        <f t="shared" si="3"/>
        <v>0.4117852161785216</v>
      </c>
      <c r="H32" s="15">
        <f t="shared" si="4"/>
        <v>0.83545000000000003</v>
      </c>
      <c r="I32" s="13">
        <f t="shared" si="5"/>
        <v>7.633521617852157E-2</v>
      </c>
      <c r="J32" t="s">
        <v>14</v>
      </c>
    </row>
    <row r="33" spans="1:10">
      <c r="A33" s="11" t="s">
        <v>28</v>
      </c>
      <c r="B33" s="13">
        <v>0.93026499302649934</v>
      </c>
      <c r="C33" s="12">
        <v>11</v>
      </c>
      <c r="D33" s="19">
        <f t="shared" si="0"/>
        <v>0.55000000000000004</v>
      </c>
      <c r="E33" s="21">
        <f t="shared" si="1"/>
        <v>0.93026499302649934</v>
      </c>
      <c r="F33" s="25">
        <f t="shared" si="2"/>
        <v>0.55000000000000004</v>
      </c>
      <c r="G33" s="13">
        <f t="shared" si="3"/>
        <v>0.3802649930264993</v>
      </c>
      <c r="H33" s="15">
        <f t="shared" si="4"/>
        <v>0.85190500000000013</v>
      </c>
      <c r="I33" s="13">
        <f t="shared" si="5"/>
        <v>7.8359993026499208E-2</v>
      </c>
      <c r="J33" t="s">
        <v>14</v>
      </c>
    </row>
    <row r="34" spans="1:10">
      <c r="A34" s="11" t="s">
        <v>30</v>
      </c>
      <c r="B34" s="13">
        <v>0.94700139470013944</v>
      </c>
      <c r="C34" s="12">
        <v>12</v>
      </c>
      <c r="D34" s="19">
        <f t="shared" si="0"/>
        <v>0.6</v>
      </c>
      <c r="E34" s="21">
        <f t="shared" si="1"/>
        <v>0.94700139470013944</v>
      </c>
      <c r="F34" s="25">
        <f t="shared" si="2"/>
        <v>0.6</v>
      </c>
      <c r="G34" s="13">
        <f t="shared" si="3"/>
        <v>0.34700139470013946</v>
      </c>
      <c r="H34" s="15">
        <f t="shared" si="4"/>
        <v>0.86836000000000002</v>
      </c>
      <c r="I34" s="13">
        <f t="shared" si="5"/>
        <v>7.8641394700139422E-2</v>
      </c>
      <c r="J34" t="s">
        <v>14</v>
      </c>
    </row>
    <row r="35" spans="1:10">
      <c r="A35" s="11" t="s">
        <v>31</v>
      </c>
      <c r="B35" s="13">
        <v>0.96129707112970708</v>
      </c>
      <c r="C35" s="12">
        <v>13</v>
      </c>
      <c r="D35" s="19">
        <f t="shared" si="0"/>
        <v>0.65</v>
      </c>
      <c r="E35" s="22">
        <f t="shared" si="1"/>
        <v>0.96129707112970708</v>
      </c>
      <c r="F35" s="25">
        <f t="shared" si="2"/>
        <v>0.65</v>
      </c>
      <c r="G35" s="13">
        <f t="shared" si="3"/>
        <v>0.31129707112970706</v>
      </c>
      <c r="H35" s="15">
        <f t="shared" si="4"/>
        <v>0.88481500000000013</v>
      </c>
      <c r="I35" s="13">
        <f t="shared" si="5"/>
        <v>7.6482071129706952E-2</v>
      </c>
      <c r="J35" t="s">
        <v>15</v>
      </c>
    </row>
    <row r="36" spans="1:10">
      <c r="A36" s="11" t="s">
        <v>32</v>
      </c>
      <c r="B36" s="13">
        <v>0.97210599721059976</v>
      </c>
      <c r="C36" s="12">
        <v>14</v>
      </c>
      <c r="D36" s="19">
        <f t="shared" si="0"/>
        <v>0.7</v>
      </c>
      <c r="E36" s="22">
        <f t="shared" si="1"/>
        <v>0.97210599721059976</v>
      </c>
      <c r="F36" s="25">
        <f t="shared" si="2"/>
        <v>0.7</v>
      </c>
      <c r="G36" s="13">
        <f t="shared" si="3"/>
        <v>0.2721059972105998</v>
      </c>
      <c r="H36" s="15">
        <f t="shared" si="4"/>
        <v>0.90127000000000002</v>
      </c>
      <c r="I36" s="13">
        <f t="shared" si="5"/>
        <v>7.0835997210599744E-2</v>
      </c>
      <c r="J36" t="s">
        <v>15</v>
      </c>
    </row>
    <row r="37" spans="1:10">
      <c r="A37" s="11" t="s">
        <v>33</v>
      </c>
      <c r="B37" s="13">
        <v>0.97977684797768483</v>
      </c>
      <c r="C37" s="12">
        <v>15</v>
      </c>
      <c r="D37" s="19">
        <f t="shared" si="0"/>
        <v>0.75</v>
      </c>
      <c r="E37" s="22">
        <f t="shared" si="1"/>
        <v>0.97977684797768483</v>
      </c>
      <c r="F37" s="25">
        <f t="shared" si="2"/>
        <v>0.75</v>
      </c>
      <c r="G37" s="13">
        <f t="shared" si="3"/>
        <v>0.22977684797768483</v>
      </c>
      <c r="H37" s="15">
        <f t="shared" si="4"/>
        <v>0.91772500000000012</v>
      </c>
      <c r="I37" s="13">
        <f t="shared" si="5"/>
        <v>6.2051847977684704E-2</v>
      </c>
      <c r="J37" t="s">
        <v>15</v>
      </c>
    </row>
    <row r="38" spans="1:10">
      <c r="A38" s="11" t="s">
        <v>35</v>
      </c>
      <c r="B38" s="13">
        <v>0.98570432357043236</v>
      </c>
      <c r="C38" s="12">
        <v>16</v>
      </c>
      <c r="D38" s="19">
        <f t="shared" si="0"/>
        <v>0.8</v>
      </c>
      <c r="E38" s="22">
        <f t="shared" si="1"/>
        <v>0.98570432357043236</v>
      </c>
      <c r="F38" s="25">
        <f t="shared" si="2"/>
        <v>0.8</v>
      </c>
      <c r="G38" s="13">
        <f t="shared" si="3"/>
        <v>0.18570432357043232</v>
      </c>
      <c r="H38" s="15">
        <f t="shared" si="4"/>
        <v>0.93418000000000001</v>
      </c>
      <c r="I38" s="13">
        <f t="shared" si="5"/>
        <v>5.1524323570432351E-2</v>
      </c>
      <c r="J38" t="s">
        <v>15</v>
      </c>
    </row>
    <row r="39" spans="1:10">
      <c r="A39" s="11" t="s">
        <v>34</v>
      </c>
      <c r="B39" s="13">
        <v>0.99128312412831243</v>
      </c>
      <c r="C39" s="12">
        <v>17</v>
      </c>
      <c r="D39" s="19">
        <f t="shared" si="0"/>
        <v>0.85</v>
      </c>
      <c r="E39" s="22">
        <f t="shared" si="1"/>
        <v>0.99128312412831243</v>
      </c>
      <c r="F39" s="25">
        <f t="shared" si="2"/>
        <v>0.85</v>
      </c>
      <c r="G39" s="13">
        <f t="shared" si="3"/>
        <v>0.14128312412831245</v>
      </c>
      <c r="H39" s="15">
        <f t="shared" si="4"/>
        <v>0.95063500000000012</v>
      </c>
      <c r="I39" s="13">
        <f t="shared" si="5"/>
        <v>4.0648124128312313E-2</v>
      </c>
      <c r="J39" t="s">
        <v>15</v>
      </c>
    </row>
    <row r="40" spans="1:10">
      <c r="A40" s="11" t="s">
        <v>36</v>
      </c>
      <c r="B40" s="13">
        <v>0.99476987447698739</v>
      </c>
      <c r="C40" s="12">
        <v>18</v>
      </c>
      <c r="D40" s="19">
        <f t="shared" si="0"/>
        <v>0.9</v>
      </c>
      <c r="E40" s="22">
        <f t="shared" si="1"/>
        <v>0.99476987447698739</v>
      </c>
      <c r="F40" s="25">
        <f t="shared" si="2"/>
        <v>0.9</v>
      </c>
      <c r="G40" s="13">
        <f t="shared" si="3"/>
        <v>9.476987447698737E-2</v>
      </c>
      <c r="H40" s="15">
        <f t="shared" si="4"/>
        <v>0.96709000000000001</v>
      </c>
      <c r="I40" s="13">
        <f t="shared" si="5"/>
        <v>2.7679874476987387E-2</v>
      </c>
      <c r="J40" t="s">
        <v>15</v>
      </c>
    </row>
    <row r="41" spans="1:10">
      <c r="A41" s="11" t="s">
        <v>38</v>
      </c>
      <c r="B41" s="13">
        <v>0.99755927475592743</v>
      </c>
      <c r="C41" s="12">
        <v>19</v>
      </c>
      <c r="D41" s="19">
        <f t="shared" si="0"/>
        <v>0.95</v>
      </c>
      <c r="E41" s="22">
        <f t="shared" si="1"/>
        <v>0.99755927475592743</v>
      </c>
      <c r="F41" s="25">
        <f t="shared" si="2"/>
        <v>0.95</v>
      </c>
      <c r="G41" s="13">
        <f t="shared" si="3"/>
        <v>4.7559274755927472E-2</v>
      </c>
      <c r="H41" s="15">
        <f t="shared" si="4"/>
        <v>0.98354500000000011</v>
      </c>
      <c r="I41" s="13">
        <f t="shared" si="5"/>
        <v>1.4014274755927314E-2</v>
      </c>
      <c r="J41" t="s">
        <v>15</v>
      </c>
    </row>
    <row r="42" spans="1:10">
      <c r="A42" s="11" t="s">
        <v>37</v>
      </c>
      <c r="B42" s="13">
        <v>1</v>
      </c>
      <c r="C42" s="12">
        <v>20</v>
      </c>
      <c r="D42" s="19">
        <f t="shared" si="0"/>
        <v>1</v>
      </c>
      <c r="E42" s="22">
        <f t="shared" si="1"/>
        <v>1</v>
      </c>
      <c r="F42" s="25">
        <f t="shared" si="2"/>
        <v>1</v>
      </c>
      <c r="G42" s="13">
        <f t="shared" si="3"/>
        <v>0</v>
      </c>
      <c r="H42" s="15">
        <f t="shared" si="4"/>
        <v>1</v>
      </c>
      <c r="I42" s="13">
        <f t="shared" si="5"/>
        <v>0</v>
      </c>
      <c r="J42" t="s">
        <v>15</v>
      </c>
    </row>
  </sheetData>
  <conditionalFormatting sqref="G23:G42">
    <cfRule type="top10" dxfId="1" priority="2" rank="1"/>
  </conditionalFormatting>
  <conditionalFormatting sqref="I23:I42">
    <cfRule type="top10" dxfId="0" priority="1" rank="1"/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8"/>
  <sheetViews>
    <sheetView topLeftCell="I1" workbookViewId="0">
      <selection activeCell="R14" sqref="R14"/>
    </sheetView>
  </sheetViews>
  <sheetFormatPr defaultRowHeight="15"/>
  <cols>
    <col min="1" max="1" width="33.85546875" hidden="1" customWidth="1"/>
    <col min="2" max="2" width="29.85546875" hidden="1" customWidth="1"/>
    <col min="3" max="3" width="4.5703125" hidden="1" customWidth="1"/>
    <col min="4" max="7" width="9.140625" hidden="1" customWidth="1"/>
    <col min="8" max="8" width="4.85546875" hidden="1" customWidth="1"/>
    <col min="9" max="9" width="33.85546875" bestFit="1" customWidth="1"/>
    <col min="10" max="10" width="10.28515625" bestFit="1" customWidth="1"/>
    <col min="11" max="11" width="4.5703125" bestFit="1" customWidth="1"/>
    <col min="12" max="12" width="4.140625" bestFit="1" customWidth="1"/>
    <col min="13" max="13" width="8" bestFit="1" customWidth="1"/>
    <col min="15" max="15" width="4.5703125" bestFit="1" customWidth="1"/>
    <col min="16" max="16" width="2.28515625" bestFit="1" customWidth="1"/>
    <col min="18" max="18" width="22.5703125" bestFit="1" customWidth="1"/>
    <col min="19" max="19" width="20.85546875" bestFit="1" customWidth="1"/>
    <col min="20" max="21" width="9" bestFit="1" customWidth="1"/>
  </cols>
  <sheetData>
    <row r="1" spans="1:21">
      <c r="A1" s="10" t="s">
        <v>284</v>
      </c>
      <c r="B1" t="s">
        <v>285</v>
      </c>
      <c r="C1" t="s">
        <v>17</v>
      </c>
      <c r="I1" t="s">
        <v>303</v>
      </c>
      <c r="J1" t="s">
        <v>306</v>
      </c>
      <c r="K1" t="s">
        <v>17</v>
      </c>
      <c r="L1" t="s">
        <v>18</v>
      </c>
      <c r="M1" t="s">
        <v>304</v>
      </c>
    </row>
    <row r="2" spans="1:21">
      <c r="A2" s="26" t="s">
        <v>153</v>
      </c>
      <c r="B2" s="12">
        <v>153779</v>
      </c>
      <c r="C2" t="str">
        <f>VLOOKUP(B2,$O$7:$P$9,2,1)</f>
        <v>C</v>
      </c>
      <c r="I2" s="11" t="s">
        <v>124</v>
      </c>
      <c r="J2" s="15">
        <v>1.1438433136428687E-2</v>
      </c>
      <c r="K2" t="s">
        <v>13</v>
      </c>
      <c r="L2" t="s">
        <v>21</v>
      </c>
      <c r="M2">
        <f>VLOOKUP(I2,$A:$B,2,0)</f>
        <v>694728</v>
      </c>
      <c r="R2" s="10" t="s">
        <v>305</v>
      </c>
      <c r="S2" s="10" t="s">
        <v>302</v>
      </c>
    </row>
    <row r="3" spans="1:21">
      <c r="A3" s="11" t="s">
        <v>115</v>
      </c>
      <c r="B3" s="12">
        <v>1118882</v>
      </c>
      <c r="C3" t="str">
        <f t="shared" ref="C3:C66" si="0">VLOOKUP(B3,$O$7:$P$9,2,1)</f>
        <v>C</v>
      </c>
      <c r="I3" s="11" t="s">
        <v>221</v>
      </c>
      <c r="J3" s="15">
        <v>2.1069199713710456E-2</v>
      </c>
      <c r="K3" t="s">
        <v>13</v>
      </c>
      <c r="L3" t="s">
        <v>21</v>
      </c>
      <c r="M3">
        <f t="shared" ref="M3:M66" si="1">VLOOKUP(I3,$A:$B,2,0)</f>
        <v>1126666</v>
      </c>
      <c r="O3" s="24">
        <v>0</v>
      </c>
      <c r="P3" t="s">
        <v>21</v>
      </c>
      <c r="R3" s="10" t="s">
        <v>284</v>
      </c>
      <c r="S3" t="s">
        <v>21</v>
      </c>
      <c r="T3" t="s">
        <v>20</v>
      </c>
      <c r="U3" t="s">
        <v>19</v>
      </c>
    </row>
    <row r="4" spans="1:21">
      <c r="A4" s="11" t="s">
        <v>229</v>
      </c>
      <c r="B4" s="12">
        <v>331987</v>
      </c>
      <c r="C4" t="str">
        <f t="shared" si="0"/>
        <v>C</v>
      </c>
      <c r="I4" s="11" t="s">
        <v>208</v>
      </c>
      <c r="J4" s="15">
        <v>2.4336350886946568E-2</v>
      </c>
      <c r="K4" t="s">
        <v>13</v>
      </c>
      <c r="L4" t="s">
        <v>21</v>
      </c>
      <c r="M4">
        <f t="shared" si="1"/>
        <v>545986</v>
      </c>
      <c r="O4" s="24">
        <v>0.1</v>
      </c>
      <c r="P4" t="s">
        <v>20</v>
      </c>
      <c r="R4" s="11" t="s">
        <v>13</v>
      </c>
      <c r="S4" s="12">
        <v>28836879</v>
      </c>
      <c r="T4" s="12">
        <v>20449831</v>
      </c>
      <c r="U4" s="12">
        <v>22137341</v>
      </c>
    </row>
    <row r="5" spans="1:21">
      <c r="A5" s="11" t="s">
        <v>111</v>
      </c>
      <c r="B5" s="12">
        <v>125135</v>
      </c>
      <c r="C5" t="str">
        <f t="shared" si="0"/>
        <v>C</v>
      </c>
      <c r="I5" s="11" t="s">
        <v>201</v>
      </c>
      <c r="J5" s="15">
        <v>3.1280532739969329E-2</v>
      </c>
      <c r="K5" t="s">
        <v>13</v>
      </c>
      <c r="L5" t="s">
        <v>21</v>
      </c>
      <c r="M5">
        <f t="shared" si="1"/>
        <v>274602</v>
      </c>
      <c r="O5" s="24">
        <v>0.25</v>
      </c>
      <c r="P5" t="s">
        <v>19</v>
      </c>
      <c r="R5" s="11" t="s">
        <v>14</v>
      </c>
      <c r="S5" s="12">
        <v>6104060</v>
      </c>
      <c r="T5" s="12">
        <v>3018312</v>
      </c>
      <c r="U5" s="12">
        <v>4331770</v>
      </c>
    </row>
    <row r="6" spans="1:21">
      <c r="A6" s="11" t="s">
        <v>64</v>
      </c>
      <c r="B6" s="12">
        <v>111870</v>
      </c>
      <c r="C6" t="str">
        <f t="shared" si="0"/>
        <v>C</v>
      </c>
      <c r="I6" s="11" t="s">
        <v>206</v>
      </c>
      <c r="J6" s="15">
        <v>2.5423753047406215E-2</v>
      </c>
      <c r="K6" t="s">
        <v>13</v>
      </c>
      <c r="L6" t="s">
        <v>21</v>
      </c>
      <c r="M6">
        <f t="shared" si="1"/>
        <v>774471</v>
      </c>
      <c r="R6" s="11" t="s">
        <v>15</v>
      </c>
      <c r="S6" s="12">
        <v>1748728</v>
      </c>
      <c r="T6" s="12">
        <v>1513119</v>
      </c>
      <c r="U6" s="12">
        <v>1259416</v>
      </c>
    </row>
    <row r="7" spans="1:21">
      <c r="A7" s="11" t="s">
        <v>96</v>
      </c>
      <c r="B7" s="12">
        <v>1155241</v>
      </c>
      <c r="C7" t="str">
        <f t="shared" si="0"/>
        <v>C</v>
      </c>
      <c r="I7" s="11" t="s">
        <v>158</v>
      </c>
      <c r="J7" s="15">
        <v>1.1748494105628388E-2</v>
      </c>
      <c r="K7" t="s">
        <v>13</v>
      </c>
      <c r="L7" t="s">
        <v>21</v>
      </c>
      <c r="M7">
        <f t="shared" si="1"/>
        <v>732453</v>
      </c>
      <c r="O7" s="24">
        <v>0</v>
      </c>
      <c r="P7" t="s">
        <v>13</v>
      </c>
    </row>
    <row r="8" spans="1:21">
      <c r="A8" s="11" t="s">
        <v>271</v>
      </c>
      <c r="B8" s="12">
        <v>225867</v>
      </c>
      <c r="C8" t="str">
        <f t="shared" si="0"/>
        <v>C</v>
      </c>
      <c r="I8" s="11" t="s">
        <v>129</v>
      </c>
      <c r="J8" s="15">
        <v>2.2727459661956165E-2</v>
      </c>
      <c r="K8" t="s">
        <v>13</v>
      </c>
      <c r="L8" t="s">
        <v>21</v>
      </c>
      <c r="M8">
        <f t="shared" si="1"/>
        <v>563642</v>
      </c>
      <c r="O8" s="24">
        <v>0.8</v>
      </c>
      <c r="P8" t="s">
        <v>14</v>
      </c>
    </row>
    <row r="9" spans="1:21">
      <c r="A9" s="11" t="s">
        <v>269</v>
      </c>
      <c r="B9" s="12">
        <v>467682</v>
      </c>
      <c r="C9" t="str">
        <f t="shared" si="0"/>
        <v>C</v>
      </c>
      <c r="I9" s="11" t="s">
        <v>62</v>
      </c>
      <c r="J9" s="15">
        <v>9.6069098770814099E-2</v>
      </c>
      <c r="K9" t="s">
        <v>13</v>
      </c>
      <c r="L9" t="s">
        <v>21</v>
      </c>
      <c r="M9">
        <f t="shared" si="1"/>
        <v>741605</v>
      </c>
      <c r="O9" s="24">
        <v>0.95</v>
      </c>
      <c r="P9" t="s">
        <v>15</v>
      </c>
    </row>
    <row r="10" spans="1:21">
      <c r="A10" s="11" t="s">
        <v>220</v>
      </c>
      <c r="B10" s="12">
        <v>196828</v>
      </c>
      <c r="C10" t="str">
        <f t="shared" si="0"/>
        <v>C</v>
      </c>
      <c r="I10" s="11" t="s">
        <v>249</v>
      </c>
      <c r="J10" s="15">
        <v>2.3101715858755572E-2</v>
      </c>
      <c r="K10" t="s">
        <v>13</v>
      </c>
      <c r="L10" t="s">
        <v>21</v>
      </c>
      <c r="M10">
        <f t="shared" si="1"/>
        <v>478881</v>
      </c>
    </row>
    <row r="11" spans="1:21">
      <c r="A11" s="11" t="s">
        <v>110</v>
      </c>
      <c r="B11" s="12">
        <v>974695</v>
      </c>
      <c r="C11" t="str">
        <f t="shared" si="0"/>
        <v>C</v>
      </c>
      <c r="I11" s="11" t="s">
        <v>54</v>
      </c>
      <c r="J11" s="15">
        <v>1.9391844254311463E-2</v>
      </c>
      <c r="K11" t="s">
        <v>13</v>
      </c>
      <c r="L11" t="s">
        <v>21</v>
      </c>
      <c r="M11">
        <f t="shared" si="1"/>
        <v>268858</v>
      </c>
    </row>
    <row r="12" spans="1:21">
      <c r="A12" s="11" t="s">
        <v>133</v>
      </c>
      <c r="B12" s="12">
        <v>303188</v>
      </c>
      <c r="C12" t="str">
        <f t="shared" si="0"/>
        <v>C</v>
      </c>
      <c r="I12" s="11" t="s">
        <v>80</v>
      </c>
      <c r="J12" s="15">
        <v>2.8716609083096277E-2</v>
      </c>
      <c r="K12" t="s">
        <v>13</v>
      </c>
      <c r="L12" t="s">
        <v>21</v>
      </c>
      <c r="M12">
        <f t="shared" si="1"/>
        <v>693818</v>
      </c>
    </row>
    <row r="13" spans="1:21">
      <c r="A13" s="11" t="s">
        <v>239</v>
      </c>
      <c r="B13" s="12">
        <v>158166</v>
      </c>
      <c r="C13" t="str">
        <f t="shared" si="0"/>
        <v>C</v>
      </c>
      <c r="I13" s="11" t="s">
        <v>227</v>
      </c>
      <c r="J13" s="15">
        <v>2.5181563676958212E-2</v>
      </c>
      <c r="K13" t="s">
        <v>13</v>
      </c>
      <c r="L13" t="s">
        <v>21</v>
      </c>
      <c r="M13">
        <f t="shared" si="1"/>
        <v>499246</v>
      </c>
    </row>
    <row r="14" spans="1:21">
      <c r="A14" s="11" t="s">
        <v>144</v>
      </c>
      <c r="B14" s="12">
        <v>478849</v>
      </c>
      <c r="C14" t="str">
        <f t="shared" si="0"/>
        <v>C</v>
      </c>
      <c r="I14" s="11" t="s">
        <v>238</v>
      </c>
      <c r="J14" s="15">
        <v>1.8242580281736576E-2</v>
      </c>
      <c r="K14" t="s">
        <v>13</v>
      </c>
      <c r="L14" t="s">
        <v>21</v>
      </c>
      <c r="M14">
        <f t="shared" si="1"/>
        <v>261104</v>
      </c>
    </row>
    <row r="15" spans="1:21">
      <c r="A15" s="11" t="s">
        <v>58</v>
      </c>
      <c r="B15" s="12">
        <v>101840</v>
      </c>
      <c r="C15" t="str">
        <f t="shared" si="0"/>
        <v>C</v>
      </c>
      <c r="I15" s="11" t="s">
        <v>193</v>
      </c>
      <c r="J15" s="15">
        <v>2.0890690661497534E-2</v>
      </c>
      <c r="K15" t="s">
        <v>13</v>
      </c>
      <c r="L15" t="s">
        <v>21</v>
      </c>
      <c r="M15">
        <f t="shared" si="1"/>
        <v>301779</v>
      </c>
    </row>
    <row r="16" spans="1:21">
      <c r="A16" s="11" t="s">
        <v>72</v>
      </c>
      <c r="B16" s="12">
        <v>171932</v>
      </c>
      <c r="C16" t="str">
        <f t="shared" si="0"/>
        <v>C</v>
      </c>
      <c r="I16" s="11" t="s">
        <v>275</v>
      </c>
      <c r="J16" s="15">
        <v>2.7167657760852844E-2</v>
      </c>
      <c r="K16" t="s">
        <v>13</v>
      </c>
      <c r="L16" t="s">
        <v>21</v>
      </c>
      <c r="M16">
        <f t="shared" si="1"/>
        <v>256961</v>
      </c>
    </row>
    <row r="17" spans="1:13">
      <c r="A17" s="11" t="s">
        <v>124</v>
      </c>
      <c r="B17" s="12">
        <v>694728</v>
      </c>
      <c r="C17" t="str">
        <f t="shared" si="0"/>
        <v>C</v>
      </c>
      <c r="I17" s="11" t="s">
        <v>61</v>
      </c>
      <c r="J17" s="15">
        <v>2.4044651394710393E-2</v>
      </c>
      <c r="K17" t="s">
        <v>13</v>
      </c>
      <c r="L17" t="s">
        <v>21</v>
      </c>
      <c r="M17">
        <f t="shared" si="1"/>
        <v>292200</v>
      </c>
    </row>
    <row r="18" spans="1:13">
      <c r="A18" s="11" t="s">
        <v>189</v>
      </c>
      <c r="B18" s="12">
        <v>222487</v>
      </c>
      <c r="C18" t="str">
        <f t="shared" si="0"/>
        <v>C</v>
      </c>
      <c r="I18" s="11" t="s">
        <v>81</v>
      </c>
      <c r="J18" s="15">
        <v>2.1484705130134747E-2</v>
      </c>
      <c r="K18" t="s">
        <v>13</v>
      </c>
      <c r="L18" t="s">
        <v>21</v>
      </c>
      <c r="M18">
        <f t="shared" si="1"/>
        <v>1010773</v>
      </c>
    </row>
    <row r="19" spans="1:13">
      <c r="A19" s="11" t="s">
        <v>106</v>
      </c>
      <c r="B19" s="12">
        <v>95435</v>
      </c>
      <c r="C19" t="str">
        <f t="shared" si="0"/>
        <v>C</v>
      </c>
      <c r="I19" s="11" t="s">
        <v>136</v>
      </c>
      <c r="J19" s="15">
        <v>2.344419842817214E-2</v>
      </c>
      <c r="K19" t="s">
        <v>13</v>
      </c>
      <c r="L19" t="s">
        <v>21</v>
      </c>
      <c r="M19">
        <f t="shared" si="1"/>
        <v>443850</v>
      </c>
    </row>
    <row r="20" spans="1:13">
      <c r="A20" s="11" t="s">
        <v>101</v>
      </c>
      <c r="B20" s="12">
        <v>467917</v>
      </c>
      <c r="C20" t="str">
        <f t="shared" si="0"/>
        <v>C</v>
      </c>
      <c r="I20" s="11" t="s">
        <v>117</v>
      </c>
      <c r="J20" s="15">
        <v>2.8303984592189472E-2</v>
      </c>
      <c r="K20" t="s">
        <v>13</v>
      </c>
      <c r="L20" t="s">
        <v>21</v>
      </c>
      <c r="M20">
        <f t="shared" si="1"/>
        <v>1245444</v>
      </c>
    </row>
    <row r="21" spans="1:13">
      <c r="A21" s="11" t="s">
        <v>67</v>
      </c>
      <c r="B21" s="12">
        <v>128469</v>
      </c>
      <c r="C21" t="str">
        <f t="shared" si="0"/>
        <v>C</v>
      </c>
      <c r="I21" s="11" t="s">
        <v>212</v>
      </c>
      <c r="J21" s="15">
        <v>2.3968400325166915E-2</v>
      </c>
      <c r="K21" t="s">
        <v>13</v>
      </c>
      <c r="L21" t="s">
        <v>21</v>
      </c>
      <c r="M21">
        <f t="shared" si="1"/>
        <v>289585</v>
      </c>
    </row>
    <row r="22" spans="1:13">
      <c r="A22" s="11" t="s">
        <v>219</v>
      </c>
      <c r="B22" s="12">
        <v>124273</v>
      </c>
      <c r="C22" t="str">
        <f t="shared" si="0"/>
        <v>C</v>
      </c>
      <c r="I22" s="11" t="s">
        <v>60</v>
      </c>
      <c r="J22" s="15">
        <v>1.9920571897713655E-2</v>
      </c>
      <c r="K22" t="s">
        <v>13</v>
      </c>
      <c r="L22" t="s">
        <v>21</v>
      </c>
      <c r="M22">
        <f t="shared" si="1"/>
        <v>823357</v>
      </c>
    </row>
    <row r="23" spans="1:13">
      <c r="A23" s="11" t="s">
        <v>107</v>
      </c>
      <c r="B23" s="12">
        <v>127158</v>
      </c>
      <c r="C23" t="str">
        <f t="shared" si="0"/>
        <v>C</v>
      </c>
      <c r="I23" s="11" t="s">
        <v>276</v>
      </c>
      <c r="J23" s="15">
        <v>8.7927786646155956E-2</v>
      </c>
      <c r="K23" t="s">
        <v>13</v>
      </c>
      <c r="L23" t="s">
        <v>21</v>
      </c>
      <c r="M23">
        <f t="shared" si="1"/>
        <v>285466</v>
      </c>
    </row>
    <row r="24" spans="1:13">
      <c r="A24" s="11" t="s">
        <v>87</v>
      </c>
      <c r="B24" s="12">
        <v>112916</v>
      </c>
      <c r="C24" t="str">
        <f t="shared" si="0"/>
        <v>C</v>
      </c>
      <c r="I24" s="11" t="s">
        <v>92</v>
      </c>
      <c r="J24" s="15">
        <v>1.5685354305491086E-2</v>
      </c>
      <c r="K24" t="s">
        <v>13</v>
      </c>
      <c r="L24" t="s">
        <v>21</v>
      </c>
      <c r="M24">
        <f t="shared" si="1"/>
        <v>607306</v>
      </c>
    </row>
    <row r="25" spans="1:13">
      <c r="A25" s="11" t="s">
        <v>270</v>
      </c>
      <c r="B25" s="12">
        <v>125944</v>
      </c>
      <c r="C25" t="str">
        <f t="shared" si="0"/>
        <v>C</v>
      </c>
      <c r="I25" s="11" t="s">
        <v>139</v>
      </c>
      <c r="J25" s="15">
        <v>1.7518255507284804E-2</v>
      </c>
      <c r="K25" t="s">
        <v>13</v>
      </c>
      <c r="L25" t="s">
        <v>21</v>
      </c>
      <c r="M25">
        <f t="shared" si="1"/>
        <v>781944</v>
      </c>
    </row>
    <row r="26" spans="1:13">
      <c r="A26" s="11" t="s">
        <v>250</v>
      </c>
      <c r="B26" s="12">
        <v>157726</v>
      </c>
      <c r="C26" t="str">
        <f t="shared" si="0"/>
        <v>C</v>
      </c>
      <c r="I26" s="11" t="s">
        <v>167</v>
      </c>
      <c r="J26" s="15">
        <v>2.4350806455242176E-2</v>
      </c>
      <c r="K26" t="s">
        <v>13</v>
      </c>
      <c r="L26" t="s">
        <v>21</v>
      </c>
      <c r="M26">
        <f t="shared" si="1"/>
        <v>973547</v>
      </c>
    </row>
    <row r="27" spans="1:13">
      <c r="A27" s="11" t="s">
        <v>274</v>
      </c>
      <c r="B27" s="12">
        <v>122028</v>
      </c>
      <c r="C27" t="str">
        <f t="shared" si="0"/>
        <v>C</v>
      </c>
      <c r="I27" s="11" t="s">
        <v>51</v>
      </c>
      <c r="J27" s="15">
        <v>2.9402557129969347E-2</v>
      </c>
      <c r="K27" t="s">
        <v>13</v>
      </c>
      <c r="L27" t="s">
        <v>21</v>
      </c>
      <c r="M27">
        <f t="shared" si="1"/>
        <v>663270</v>
      </c>
    </row>
    <row r="28" spans="1:13">
      <c r="A28" s="27" t="s">
        <v>75</v>
      </c>
      <c r="B28" s="12">
        <v>252146</v>
      </c>
      <c r="C28" t="str">
        <f t="shared" si="0"/>
        <v>C</v>
      </c>
      <c r="I28" s="11" t="s">
        <v>258</v>
      </c>
      <c r="J28" s="15">
        <v>2.8715427199599023E-2</v>
      </c>
      <c r="K28" t="s">
        <v>13</v>
      </c>
      <c r="L28" t="s">
        <v>21</v>
      </c>
      <c r="M28">
        <f t="shared" si="1"/>
        <v>488649</v>
      </c>
    </row>
    <row r="29" spans="1:13">
      <c r="A29" s="11" t="s">
        <v>47</v>
      </c>
      <c r="B29" s="12">
        <v>157412</v>
      </c>
      <c r="C29" t="str">
        <f t="shared" si="0"/>
        <v>C</v>
      </c>
      <c r="I29" s="11" t="s">
        <v>168</v>
      </c>
      <c r="J29" s="15">
        <v>2.3268130184207168E-2</v>
      </c>
      <c r="K29" t="s">
        <v>13</v>
      </c>
      <c r="L29" t="s">
        <v>21</v>
      </c>
      <c r="M29">
        <f t="shared" si="1"/>
        <v>1243018</v>
      </c>
    </row>
    <row r="30" spans="1:13">
      <c r="A30" s="11" t="s">
        <v>122</v>
      </c>
      <c r="B30" s="12">
        <v>183333</v>
      </c>
      <c r="C30" t="str">
        <f t="shared" si="0"/>
        <v>C</v>
      </c>
      <c r="I30" s="11" t="s">
        <v>131</v>
      </c>
      <c r="J30" s="15">
        <v>2.5442193642081532E-2</v>
      </c>
      <c r="K30" t="s">
        <v>13</v>
      </c>
      <c r="L30" t="s">
        <v>21</v>
      </c>
      <c r="M30">
        <f t="shared" si="1"/>
        <v>454167</v>
      </c>
    </row>
    <row r="31" spans="1:13">
      <c r="A31" s="11" t="s">
        <v>221</v>
      </c>
      <c r="B31" s="12">
        <v>1126666</v>
      </c>
      <c r="C31" t="str">
        <f t="shared" si="0"/>
        <v>C</v>
      </c>
      <c r="I31" s="11" t="s">
        <v>119</v>
      </c>
      <c r="J31" s="15">
        <v>1.6104128660818645E-2</v>
      </c>
      <c r="K31" t="s">
        <v>13</v>
      </c>
      <c r="L31" t="s">
        <v>21</v>
      </c>
      <c r="M31">
        <f t="shared" si="1"/>
        <v>333252</v>
      </c>
    </row>
    <row r="32" spans="1:13">
      <c r="A32" s="11" t="s">
        <v>171</v>
      </c>
      <c r="B32" s="12">
        <v>203877</v>
      </c>
      <c r="C32" t="str">
        <f t="shared" si="0"/>
        <v>C</v>
      </c>
      <c r="I32" s="11" t="s">
        <v>48</v>
      </c>
      <c r="J32" s="15">
        <v>3.2623172380098944E-2</v>
      </c>
      <c r="K32" t="s">
        <v>13</v>
      </c>
      <c r="L32" t="s">
        <v>21</v>
      </c>
      <c r="M32">
        <f t="shared" si="1"/>
        <v>586866</v>
      </c>
    </row>
    <row r="33" spans="1:13">
      <c r="A33" s="11" t="s">
        <v>208</v>
      </c>
      <c r="B33" s="12">
        <v>545986</v>
      </c>
      <c r="C33" t="str">
        <f t="shared" si="0"/>
        <v>C</v>
      </c>
      <c r="I33" s="11" t="s">
        <v>188</v>
      </c>
      <c r="J33" s="15">
        <v>2.6580759330831056E-2</v>
      </c>
      <c r="K33" t="s">
        <v>13</v>
      </c>
      <c r="L33" t="s">
        <v>21</v>
      </c>
      <c r="M33">
        <f t="shared" si="1"/>
        <v>787489</v>
      </c>
    </row>
    <row r="34" spans="1:13">
      <c r="A34" s="11" t="s">
        <v>151</v>
      </c>
      <c r="B34" s="12">
        <v>301002</v>
      </c>
      <c r="C34" t="str">
        <f t="shared" si="0"/>
        <v>C</v>
      </c>
      <c r="I34" s="11" t="s">
        <v>118</v>
      </c>
      <c r="J34" s="15">
        <v>2.8582246984208349E-2</v>
      </c>
      <c r="K34" t="s">
        <v>13</v>
      </c>
      <c r="L34" t="s">
        <v>21</v>
      </c>
      <c r="M34">
        <f t="shared" si="1"/>
        <v>801823</v>
      </c>
    </row>
    <row r="35" spans="1:13">
      <c r="A35" s="11" t="s">
        <v>264</v>
      </c>
      <c r="B35" s="12">
        <v>487024</v>
      </c>
      <c r="C35" t="str">
        <f t="shared" si="0"/>
        <v>C</v>
      </c>
      <c r="I35" s="11" t="s">
        <v>150</v>
      </c>
      <c r="J35" s="15">
        <v>2.4890283759124308E-2</v>
      </c>
      <c r="K35" t="s">
        <v>13</v>
      </c>
      <c r="L35" t="s">
        <v>21</v>
      </c>
      <c r="M35">
        <f t="shared" si="1"/>
        <v>429790</v>
      </c>
    </row>
    <row r="36" spans="1:13">
      <c r="A36" s="11" t="s">
        <v>263</v>
      </c>
      <c r="B36" s="12">
        <v>230747</v>
      </c>
      <c r="C36" t="str">
        <f t="shared" si="0"/>
        <v>C</v>
      </c>
      <c r="I36" s="11" t="s">
        <v>85</v>
      </c>
      <c r="J36" s="15">
        <v>2.9371453714868531E-2</v>
      </c>
      <c r="K36" t="s">
        <v>13</v>
      </c>
      <c r="L36" t="s">
        <v>21</v>
      </c>
      <c r="M36">
        <f t="shared" si="1"/>
        <v>272381</v>
      </c>
    </row>
    <row r="37" spans="1:13">
      <c r="A37" s="11" t="s">
        <v>184</v>
      </c>
      <c r="B37" s="12">
        <v>1209775</v>
      </c>
      <c r="C37" t="str">
        <f t="shared" si="0"/>
        <v>C</v>
      </c>
      <c r="I37" s="11" t="s">
        <v>79</v>
      </c>
      <c r="J37" s="15">
        <v>2.8561700122068955E-2</v>
      </c>
      <c r="K37" t="s">
        <v>13</v>
      </c>
      <c r="L37" t="s">
        <v>21</v>
      </c>
      <c r="M37">
        <f t="shared" si="1"/>
        <v>396477</v>
      </c>
    </row>
    <row r="38" spans="1:13">
      <c r="A38" s="11" t="s">
        <v>91</v>
      </c>
      <c r="B38" s="12">
        <v>620527</v>
      </c>
      <c r="C38" t="str">
        <f t="shared" si="0"/>
        <v>C</v>
      </c>
      <c r="I38" s="11" t="s">
        <v>231</v>
      </c>
      <c r="J38" s="15">
        <v>2.874872470767563E-2</v>
      </c>
      <c r="K38" t="s">
        <v>13</v>
      </c>
      <c r="L38" t="s">
        <v>21</v>
      </c>
      <c r="M38">
        <f t="shared" si="1"/>
        <v>283501</v>
      </c>
    </row>
    <row r="39" spans="1:13">
      <c r="A39" s="11" t="s">
        <v>201</v>
      </c>
      <c r="B39" s="12">
        <v>274602</v>
      </c>
      <c r="C39" t="str">
        <f t="shared" si="0"/>
        <v>C</v>
      </c>
      <c r="I39" s="11" t="s">
        <v>241</v>
      </c>
      <c r="J39" s="15">
        <v>3.0481366240711103E-2</v>
      </c>
      <c r="K39" t="s">
        <v>13</v>
      </c>
      <c r="L39" t="s">
        <v>21</v>
      </c>
      <c r="M39">
        <f t="shared" si="1"/>
        <v>341883</v>
      </c>
    </row>
    <row r="40" spans="1:13">
      <c r="A40" s="11" t="s">
        <v>240</v>
      </c>
      <c r="B40" s="12">
        <v>118668</v>
      </c>
      <c r="C40" t="str">
        <f t="shared" si="0"/>
        <v>C</v>
      </c>
      <c r="I40" s="11" t="s">
        <v>137</v>
      </c>
      <c r="J40" s="15">
        <v>2.9015130693130081E-2</v>
      </c>
      <c r="K40" t="s">
        <v>13</v>
      </c>
      <c r="L40" t="s">
        <v>21</v>
      </c>
      <c r="M40">
        <f t="shared" si="1"/>
        <v>448514</v>
      </c>
    </row>
    <row r="41" spans="1:13">
      <c r="A41" s="11" t="s">
        <v>68</v>
      </c>
      <c r="B41" s="12">
        <v>118923</v>
      </c>
      <c r="C41" t="str">
        <f t="shared" si="0"/>
        <v>C</v>
      </c>
      <c r="I41" s="11" t="s">
        <v>279</v>
      </c>
      <c r="J41" s="15">
        <v>2.1932511737401378E-2</v>
      </c>
      <c r="K41" t="s">
        <v>13</v>
      </c>
      <c r="L41" t="s">
        <v>21</v>
      </c>
      <c r="M41">
        <f t="shared" si="1"/>
        <v>368311</v>
      </c>
    </row>
    <row r="42" spans="1:13">
      <c r="A42" s="11" t="s">
        <v>123</v>
      </c>
      <c r="B42" s="12">
        <v>189363</v>
      </c>
      <c r="C42" t="str">
        <f t="shared" si="0"/>
        <v>C</v>
      </c>
      <c r="I42" s="11" t="s">
        <v>53</v>
      </c>
      <c r="J42" s="15">
        <v>1.9927669174569132E-2</v>
      </c>
      <c r="K42" t="s">
        <v>13</v>
      </c>
      <c r="L42" t="s">
        <v>21</v>
      </c>
      <c r="M42">
        <f t="shared" si="1"/>
        <v>1107473</v>
      </c>
    </row>
    <row r="43" spans="1:13">
      <c r="A43" s="11" t="s">
        <v>206</v>
      </c>
      <c r="B43" s="12">
        <v>774471</v>
      </c>
      <c r="C43" t="str">
        <f t="shared" si="0"/>
        <v>C</v>
      </c>
      <c r="I43" s="11" t="s">
        <v>146</v>
      </c>
      <c r="J43" s="15">
        <v>3.1869939323137635E-2</v>
      </c>
      <c r="K43" t="s">
        <v>13</v>
      </c>
      <c r="L43" t="s">
        <v>21</v>
      </c>
      <c r="M43">
        <f t="shared" si="1"/>
        <v>1240010</v>
      </c>
    </row>
    <row r="44" spans="1:13">
      <c r="A44" s="11" t="s">
        <v>98</v>
      </c>
      <c r="B44" s="12">
        <v>159693</v>
      </c>
      <c r="C44" t="str">
        <f t="shared" si="0"/>
        <v>C</v>
      </c>
      <c r="I44" s="11" t="s">
        <v>174</v>
      </c>
      <c r="J44" s="15">
        <v>2.5985930163023481E-2</v>
      </c>
      <c r="K44" t="s">
        <v>13</v>
      </c>
      <c r="L44" t="s">
        <v>21</v>
      </c>
      <c r="M44">
        <f t="shared" si="1"/>
        <v>994836</v>
      </c>
    </row>
    <row r="45" spans="1:13">
      <c r="A45" s="11" t="s">
        <v>50</v>
      </c>
      <c r="B45" s="12">
        <v>375746</v>
      </c>
      <c r="C45" t="str">
        <f t="shared" si="0"/>
        <v>C</v>
      </c>
      <c r="I45" s="11" t="s">
        <v>141</v>
      </c>
      <c r="J45" s="15">
        <v>2.2266132975647869E-2</v>
      </c>
      <c r="K45" t="s">
        <v>13</v>
      </c>
      <c r="L45" t="s">
        <v>21</v>
      </c>
      <c r="M45">
        <f t="shared" si="1"/>
        <v>913039</v>
      </c>
    </row>
    <row r="46" spans="1:13">
      <c r="A46" s="11" t="s">
        <v>113</v>
      </c>
      <c r="B46" s="12">
        <v>316371</v>
      </c>
      <c r="C46" t="str">
        <f t="shared" si="0"/>
        <v>C</v>
      </c>
      <c r="I46" s="11" t="s">
        <v>214</v>
      </c>
      <c r="J46" s="15">
        <v>2.5035321749202109E-2</v>
      </c>
      <c r="K46" t="s">
        <v>13</v>
      </c>
      <c r="L46" t="s">
        <v>21</v>
      </c>
      <c r="M46">
        <f t="shared" si="1"/>
        <v>388225</v>
      </c>
    </row>
    <row r="47" spans="1:13">
      <c r="A47" s="11" t="s">
        <v>160</v>
      </c>
      <c r="B47" s="12">
        <v>133076</v>
      </c>
      <c r="C47" t="str">
        <f t="shared" si="0"/>
        <v>C</v>
      </c>
      <c r="I47" s="11" t="s">
        <v>195</v>
      </c>
      <c r="J47" s="15">
        <v>2.5697403191952767E-2</v>
      </c>
      <c r="K47" t="s">
        <v>13</v>
      </c>
      <c r="L47" t="s">
        <v>21</v>
      </c>
      <c r="M47">
        <f t="shared" si="1"/>
        <v>583912</v>
      </c>
    </row>
    <row r="48" spans="1:13">
      <c r="A48" s="11" t="s">
        <v>262</v>
      </c>
      <c r="B48" s="12">
        <v>154691</v>
      </c>
      <c r="C48" t="str">
        <f t="shared" si="0"/>
        <v>C</v>
      </c>
      <c r="I48" s="11" t="s">
        <v>57</v>
      </c>
      <c r="J48" s="15">
        <v>2.7589198479888586E-2</v>
      </c>
      <c r="K48" t="s">
        <v>13</v>
      </c>
      <c r="L48" t="s">
        <v>21</v>
      </c>
      <c r="M48">
        <f t="shared" si="1"/>
        <v>406143</v>
      </c>
    </row>
    <row r="49" spans="1:13">
      <c r="A49" s="11" t="s">
        <v>145</v>
      </c>
      <c r="B49" s="12">
        <v>444415</v>
      </c>
      <c r="C49" t="str">
        <f t="shared" si="0"/>
        <v>C</v>
      </c>
      <c r="I49" s="11" t="s">
        <v>280</v>
      </c>
      <c r="J49" s="15">
        <v>2.2105727245258101E-2</v>
      </c>
      <c r="K49" t="s">
        <v>13</v>
      </c>
      <c r="L49" t="s">
        <v>21</v>
      </c>
      <c r="M49">
        <f t="shared" si="1"/>
        <v>335578</v>
      </c>
    </row>
    <row r="50" spans="1:13">
      <c r="A50" s="11" t="s">
        <v>126</v>
      </c>
      <c r="B50" s="12">
        <v>142301</v>
      </c>
      <c r="C50" t="str">
        <f t="shared" si="0"/>
        <v>C</v>
      </c>
      <c r="I50" s="11" t="s">
        <v>229</v>
      </c>
      <c r="J50" s="15">
        <v>0.16507195207331746</v>
      </c>
      <c r="K50" t="s">
        <v>13</v>
      </c>
      <c r="L50" t="s">
        <v>20</v>
      </c>
      <c r="M50">
        <f t="shared" si="1"/>
        <v>331987</v>
      </c>
    </row>
    <row r="51" spans="1:13">
      <c r="A51" s="11" t="s">
        <v>93</v>
      </c>
      <c r="B51" s="12">
        <v>961716</v>
      </c>
      <c r="C51" t="str">
        <f t="shared" si="0"/>
        <v>C</v>
      </c>
      <c r="I51" s="11" t="s">
        <v>110</v>
      </c>
      <c r="J51" s="15">
        <v>0.16762381123565828</v>
      </c>
      <c r="K51" t="s">
        <v>13</v>
      </c>
      <c r="L51" t="s">
        <v>20</v>
      </c>
      <c r="M51">
        <f t="shared" si="1"/>
        <v>974695</v>
      </c>
    </row>
    <row r="52" spans="1:13">
      <c r="A52" s="11" t="s">
        <v>192</v>
      </c>
      <c r="B52" s="12">
        <v>346040</v>
      </c>
      <c r="C52" t="str">
        <f t="shared" si="0"/>
        <v>C</v>
      </c>
      <c r="I52" s="11" t="s">
        <v>144</v>
      </c>
      <c r="J52" s="15">
        <v>0.15164303069961493</v>
      </c>
      <c r="K52" t="s">
        <v>13</v>
      </c>
      <c r="L52" t="s">
        <v>20</v>
      </c>
      <c r="M52">
        <f t="shared" si="1"/>
        <v>478849</v>
      </c>
    </row>
    <row r="53" spans="1:13">
      <c r="A53" s="11" t="s">
        <v>181</v>
      </c>
      <c r="B53" s="12">
        <v>676850</v>
      </c>
      <c r="C53" t="str">
        <f t="shared" si="0"/>
        <v>C</v>
      </c>
      <c r="I53" s="11" t="s">
        <v>151</v>
      </c>
      <c r="J53" s="15">
        <v>0.15300273932472783</v>
      </c>
      <c r="K53" t="s">
        <v>13</v>
      </c>
      <c r="L53" t="s">
        <v>20</v>
      </c>
      <c r="M53">
        <f t="shared" si="1"/>
        <v>301002</v>
      </c>
    </row>
    <row r="54" spans="1:13">
      <c r="A54" s="11" t="s">
        <v>88</v>
      </c>
      <c r="B54" s="12">
        <v>457552</v>
      </c>
      <c r="C54" t="str">
        <f t="shared" si="0"/>
        <v>C</v>
      </c>
      <c r="I54" s="11" t="s">
        <v>263</v>
      </c>
      <c r="J54" s="15">
        <v>0.18592411417201873</v>
      </c>
      <c r="K54" t="s">
        <v>13</v>
      </c>
      <c r="L54" t="s">
        <v>20</v>
      </c>
      <c r="M54">
        <f t="shared" si="1"/>
        <v>230747</v>
      </c>
    </row>
    <row r="55" spans="1:13">
      <c r="A55" s="11" t="s">
        <v>132</v>
      </c>
      <c r="B55" s="12">
        <v>737372</v>
      </c>
      <c r="C55" t="str">
        <f t="shared" si="0"/>
        <v>C</v>
      </c>
      <c r="I55" s="11" t="s">
        <v>184</v>
      </c>
      <c r="J55" s="15">
        <v>0.17122406106283303</v>
      </c>
      <c r="K55" t="s">
        <v>13</v>
      </c>
      <c r="L55" t="s">
        <v>20</v>
      </c>
      <c r="M55">
        <f t="shared" si="1"/>
        <v>1209775</v>
      </c>
    </row>
    <row r="56" spans="1:13">
      <c r="A56" s="11" t="s">
        <v>182</v>
      </c>
      <c r="B56" s="12">
        <v>739283</v>
      </c>
      <c r="C56" t="str">
        <f t="shared" si="0"/>
        <v>C</v>
      </c>
      <c r="I56" s="11" t="s">
        <v>145</v>
      </c>
      <c r="J56" s="15">
        <v>0.17111372762787724</v>
      </c>
      <c r="K56" t="s">
        <v>13</v>
      </c>
      <c r="L56" t="s">
        <v>20</v>
      </c>
      <c r="M56">
        <f t="shared" si="1"/>
        <v>444415</v>
      </c>
    </row>
    <row r="57" spans="1:13">
      <c r="A57" s="11" t="s">
        <v>158</v>
      </c>
      <c r="B57" s="12">
        <v>732453</v>
      </c>
      <c r="C57" t="str">
        <f t="shared" si="0"/>
        <v>C</v>
      </c>
      <c r="I57" s="11" t="s">
        <v>93</v>
      </c>
      <c r="J57" s="15">
        <v>0.15168100550720207</v>
      </c>
      <c r="K57" t="s">
        <v>13</v>
      </c>
      <c r="L57" t="s">
        <v>20</v>
      </c>
      <c r="M57">
        <f t="shared" si="1"/>
        <v>961716</v>
      </c>
    </row>
    <row r="58" spans="1:13">
      <c r="A58" s="11" t="s">
        <v>71</v>
      </c>
      <c r="B58" s="12">
        <v>122078</v>
      </c>
      <c r="C58" t="str">
        <f t="shared" si="0"/>
        <v>C</v>
      </c>
      <c r="I58" s="11" t="s">
        <v>88</v>
      </c>
      <c r="J58" s="15">
        <v>0.13771959567444797</v>
      </c>
      <c r="K58" t="s">
        <v>13</v>
      </c>
      <c r="L58" t="s">
        <v>20</v>
      </c>
      <c r="M58">
        <f t="shared" si="1"/>
        <v>457552</v>
      </c>
    </row>
    <row r="59" spans="1:13">
      <c r="A59" s="11" t="s">
        <v>235</v>
      </c>
      <c r="B59" s="12">
        <v>192967</v>
      </c>
      <c r="C59" t="str">
        <f t="shared" si="0"/>
        <v>C</v>
      </c>
      <c r="I59" s="11" t="s">
        <v>132</v>
      </c>
      <c r="J59" s="15">
        <v>0.19285391175841493</v>
      </c>
      <c r="K59" t="s">
        <v>13</v>
      </c>
      <c r="L59" t="s">
        <v>20</v>
      </c>
      <c r="M59">
        <f t="shared" si="1"/>
        <v>737372</v>
      </c>
    </row>
    <row r="60" spans="1:13">
      <c r="A60" s="11" t="s">
        <v>216</v>
      </c>
      <c r="B60" s="12">
        <v>211031</v>
      </c>
      <c r="C60" t="str">
        <f t="shared" si="0"/>
        <v>C</v>
      </c>
      <c r="I60" s="11" t="s">
        <v>182</v>
      </c>
      <c r="J60" s="15">
        <v>0.15278138041989031</v>
      </c>
      <c r="K60" t="s">
        <v>13</v>
      </c>
      <c r="L60" t="s">
        <v>20</v>
      </c>
      <c r="M60">
        <f t="shared" si="1"/>
        <v>739283</v>
      </c>
    </row>
    <row r="61" spans="1:13">
      <c r="A61" s="11" t="s">
        <v>156</v>
      </c>
      <c r="B61" s="12">
        <v>107297</v>
      </c>
      <c r="C61" t="str">
        <f t="shared" si="0"/>
        <v>C</v>
      </c>
      <c r="I61" s="11" t="s">
        <v>116</v>
      </c>
      <c r="J61" s="15">
        <v>0.18129182283708378</v>
      </c>
      <c r="K61" t="s">
        <v>13</v>
      </c>
      <c r="L61" t="s">
        <v>20</v>
      </c>
      <c r="M61">
        <f t="shared" si="1"/>
        <v>309598</v>
      </c>
    </row>
    <row r="62" spans="1:13">
      <c r="A62" s="11" t="s">
        <v>116</v>
      </c>
      <c r="B62" s="12">
        <v>309598</v>
      </c>
      <c r="C62" t="str">
        <f t="shared" si="0"/>
        <v>C</v>
      </c>
      <c r="I62" s="11" t="s">
        <v>114</v>
      </c>
      <c r="J62" s="15">
        <v>0.14452862500596542</v>
      </c>
      <c r="K62" t="s">
        <v>13</v>
      </c>
      <c r="L62" t="s">
        <v>20</v>
      </c>
      <c r="M62">
        <f t="shared" si="1"/>
        <v>297777</v>
      </c>
    </row>
    <row r="63" spans="1:13">
      <c r="A63" s="11" t="s">
        <v>129</v>
      </c>
      <c r="B63" s="12">
        <v>563642</v>
      </c>
      <c r="C63" t="str">
        <f t="shared" si="0"/>
        <v>C</v>
      </c>
      <c r="I63" s="11" t="s">
        <v>209</v>
      </c>
      <c r="J63" s="15">
        <v>0.14493811402833309</v>
      </c>
      <c r="K63" t="s">
        <v>13</v>
      </c>
      <c r="L63" t="s">
        <v>20</v>
      </c>
      <c r="M63">
        <f t="shared" si="1"/>
        <v>807631</v>
      </c>
    </row>
    <row r="64" spans="1:13">
      <c r="A64" s="11" t="s">
        <v>63</v>
      </c>
      <c r="B64" s="12">
        <v>143330</v>
      </c>
      <c r="C64" t="str">
        <f t="shared" si="0"/>
        <v>C</v>
      </c>
      <c r="I64" s="11" t="s">
        <v>94</v>
      </c>
      <c r="J64" s="15">
        <v>0.15716947800607139</v>
      </c>
      <c r="K64" t="s">
        <v>13</v>
      </c>
      <c r="L64" t="s">
        <v>20</v>
      </c>
      <c r="M64">
        <f t="shared" si="1"/>
        <v>856361</v>
      </c>
    </row>
    <row r="65" spans="1:13">
      <c r="A65" s="11" t="s">
        <v>114</v>
      </c>
      <c r="B65" s="12">
        <v>297777</v>
      </c>
      <c r="C65" t="str">
        <f t="shared" si="0"/>
        <v>C</v>
      </c>
      <c r="I65" s="11" t="s">
        <v>257</v>
      </c>
      <c r="J65" s="15">
        <v>0.19119573524979488</v>
      </c>
      <c r="K65" t="s">
        <v>13</v>
      </c>
      <c r="L65" t="s">
        <v>20</v>
      </c>
      <c r="M65">
        <f t="shared" si="1"/>
        <v>244770</v>
      </c>
    </row>
    <row r="66" spans="1:13">
      <c r="A66" s="11" t="s">
        <v>186</v>
      </c>
      <c r="B66" s="12">
        <v>153518</v>
      </c>
      <c r="C66" t="str">
        <f t="shared" si="0"/>
        <v>C</v>
      </c>
      <c r="I66" s="11" t="s">
        <v>104</v>
      </c>
      <c r="J66" s="15">
        <v>0.23497762671092207</v>
      </c>
      <c r="K66" t="s">
        <v>13</v>
      </c>
      <c r="L66" t="s">
        <v>20</v>
      </c>
      <c r="M66">
        <f t="shared" si="1"/>
        <v>1133843</v>
      </c>
    </row>
    <row r="67" spans="1:13">
      <c r="A67" s="11" t="s">
        <v>62</v>
      </c>
      <c r="B67" s="12">
        <v>741605</v>
      </c>
      <c r="C67" t="str">
        <f t="shared" ref="C67:C130" si="2">VLOOKUP(B67,$O$7:$P$9,2,1)</f>
        <v>C</v>
      </c>
      <c r="I67" s="11" t="s">
        <v>172</v>
      </c>
      <c r="J67" s="15">
        <v>0.16581581470813866</v>
      </c>
      <c r="K67" t="s">
        <v>13</v>
      </c>
      <c r="L67" t="s">
        <v>20</v>
      </c>
      <c r="M67">
        <f t="shared" ref="M67:M130" si="3">VLOOKUP(I67,$A:$B,2,0)</f>
        <v>499953</v>
      </c>
    </row>
    <row r="68" spans="1:13">
      <c r="A68" s="11" t="s">
        <v>256</v>
      </c>
      <c r="B68" s="12">
        <v>180278</v>
      </c>
      <c r="C68" t="str">
        <f t="shared" si="2"/>
        <v>C</v>
      </c>
      <c r="I68" s="11" t="s">
        <v>277</v>
      </c>
      <c r="J68" s="15">
        <v>0.13712519270651174</v>
      </c>
      <c r="K68" t="s">
        <v>13</v>
      </c>
      <c r="L68" t="s">
        <v>20</v>
      </c>
      <c r="M68">
        <f t="shared" si="3"/>
        <v>315414</v>
      </c>
    </row>
    <row r="69" spans="1:13">
      <c r="A69" s="11" t="s">
        <v>209</v>
      </c>
      <c r="B69" s="12">
        <v>807631</v>
      </c>
      <c r="C69" t="str">
        <f t="shared" si="2"/>
        <v>C</v>
      </c>
      <c r="I69" s="11" t="s">
        <v>178</v>
      </c>
      <c r="J69" s="15">
        <v>0.15894986623362339</v>
      </c>
      <c r="K69" t="s">
        <v>13</v>
      </c>
      <c r="L69" t="s">
        <v>20</v>
      </c>
      <c r="M69">
        <f t="shared" si="3"/>
        <v>529342</v>
      </c>
    </row>
    <row r="70" spans="1:13">
      <c r="A70" s="11" t="s">
        <v>59</v>
      </c>
      <c r="B70" s="12">
        <v>127399</v>
      </c>
      <c r="C70" t="str">
        <f t="shared" si="2"/>
        <v>C</v>
      </c>
      <c r="I70" s="11" t="s">
        <v>130</v>
      </c>
      <c r="J70" s="15">
        <v>0.13359902132517609</v>
      </c>
      <c r="K70" t="s">
        <v>13</v>
      </c>
      <c r="L70" t="s">
        <v>20</v>
      </c>
      <c r="M70">
        <f t="shared" si="3"/>
        <v>657643</v>
      </c>
    </row>
    <row r="71" spans="1:13">
      <c r="A71" s="11" t="s">
        <v>234</v>
      </c>
      <c r="B71" s="12">
        <v>179911</v>
      </c>
      <c r="C71" t="str">
        <f t="shared" si="2"/>
        <v>C</v>
      </c>
      <c r="I71" s="11" t="s">
        <v>202</v>
      </c>
      <c r="J71" s="15">
        <v>0.11195182764659072</v>
      </c>
      <c r="K71" t="s">
        <v>13</v>
      </c>
      <c r="L71" t="s">
        <v>20</v>
      </c>
      <c r="M71">
        <f t="shared" si="3"/>
        <v>721272</v>
      </c>
    </row>
    <row r="72" spans="1:13">
      <c r="A72" s="11" t="s">
        <v>112</v>
      </c>
      <c r="B72" s="12">
        <v>161695</v>
      </c>
      <c r="C72" t="str">
        <f t="shared" si="2"/>
        <v>C</v>
      </c>
      <c r="I72" s="11" t="s">
        <v>187</v>
      </c>
      <c r="J72" s="15">
        <v>0.18505307550577393</v>
      </c>
      <c r="K72" t="s">
        <v>13</v>
      </c>
      <c r="L72" t="s">
        <v>20</v>
      </c>
      <c r="M72">
        <f t="shared" si="3"/>
        <v>370695</v>
      </c>
    </row>
    <row r="73" spans="1:13">
      <c r="A73" s="11" t="s">
        <v>82</v>
      </c>
      <c r="B73" s="12">
        <v>147233</v>
      </c>
      <c r="C73" t="str">
        <f t="shared" si="2"/>
        <v>C</v>
      </c>
      <c r="I73" s="11" t="s">
        <v>197</v>
      </c>
      <c r="J73" s="15">
        <v>0.12704868805887526</v>
      </c>
      <c r="K73" t="s">
        <v>13</v>
      </c>
      <c r="L73" t="s">
        <v>20</v>
      </c>
      <c r="M73">
        <f t="shared" si="3"/>
        <v>895275</v>
      </c>
    </row>
    <row r="74" spans="1:13">
      <c r="A74" s="11" t="s">
        <v>138</v>
      </c>
      <c r="B74" s="12">
        <v>898010</v>
      </c>
      <c r="C74" t="str">
        <f t="shared" si="2"/>
        <v>C</v>
      </c>
      <c r="I74" s="11" t="s">
        <v>78</v>
      </c>
      <c r="J74" s="15">
        <v>0.16735864409911999</v>
      </c>
      <c r="K74" t="s">
        <v>13</v>
      </c>
      <c r="L74" t="s">
        <v>20</v>
      </c>
      <c r="M74">
        <f t="shared" si="3"/>
        <v>641873</v>
      </c>
    </row>
    <row r="75" spans="1:13">
      <c r="A75" s="11" t="s">
        <v>103</v>
      </c>
      <c r="B75" s="12">
        <v>943743</v>
      </c>
      <c r="C75" t="str">
        <f t="shared" si="2"/>
        <v>C</v>
      </c>
      <c r="I75" s="11" t="s">
        <v>230</v>
      </c>
      <c r="J75" s="15">
        <v>0.18625010181319443</v>
      </c>
      <c r="K75" t="s">
        <v>13</v>
      </c>
      <c r="L75" t="s">
        <v>20</v>
      </c>
      <c r="M75">
        <f t="shared" si="3"/>
        <v>450585</v>
      </c>
    </row>
    <row r="76" spans="1:13">
      <c r="A76" s="11" t="s">
        <v>65</v>
      </c>
      <c r="B76" s="12">
        <v>525464</v>
      </c>
      <c r="C76" t="str">
        <f t="shared" si="2"/>
        <v>C</v>
      </c>
      <c r="I76" s="11" t="s">
        <v>102</v>
      </c>
      <c r="J76" s="15">
        <v>0.1251230653747791</v>
      </c>
      <c r="K76" t="s">
        <v>13</v>
      </c>
      <c r="L76" t="s">
        <v>20</v>
      </c>
      <c r="M76">
        <f t="shared" si="3"/>
        <v>606225</v>
      </c>
    </row>
    <row r="77" spans="1:13">
      <c r="A77" s="11" t="s">
        <v>94</v>
      </c>
      <c r="B77" s="12">
        <v>856361</v>
      </c>
      <c r="C77" t="str">
        <f t="shared" si="2"/>
        <v>C</v>
      </c>
      <c r="I77" s="11" t="s">
        <v>213</v>
      </c>
      <c r="J77" s="15">
        <v>0.14293152101662304</v>
      </c>
      <c r="K77" t="s">
        <v>13</v>
      </c>
      <c r="L77" t="s">
        <v>20</v>
      </c>
      <c r="M77">
        <f t="shared" si="3"/>
        <v>320596</v>
      </c>
    </row>
    <row r="78" spans="1:13">
      <c r="A78" s="11" t="s">
        <v>55</v>
      </c>
      <c r="B78" s="12">
        <v>121772</v>
      </c>
      <c r="C78" t="str">
        <f t="shared" si="2"/>
        <v>C</v>
      </c>
      <c r="I78" s="11" t="s">
        <v>185</v>
      </c>
      <c r="J78" s="15">
        <v>0.18567672711273026</v>
      </c>
      <c r="K78" t="s">
        <v>13</v>
      </c>
      <c r="L78" t="s">
        <v>20</v>
      </c>
      <c r="M78">
        <f t="shared" si="3"/>
        <v>284788</v>
      </c>
    </row>
    <row r="79" spans="1:13">
      <c r="A79" s="11" t="s">
        <v>249</v>
      </c>
      <c r="B79" s="12">
        <v>478881</v>
      </c>
      <c r="C79" t="str">
        <f t="shared" si="2"/>
        <v>C</v>
      </c>
      <c r="I79" s="11" t="s">
        <v>198</v>
      </c>
      <c r="J79" s="15">
        <v>0.15747573942506798</v>
      </c>
      <c r="K79" t="s">
        <v>13</v>
      </c>
      <c r="L79" t="s">
        <v>20</v>
      </c>
      <c r="M79">
        <f t="shared" si="3"/>
        <v>316318</v>
      </c>
    </row>
    <row r="80" spans="1:13">
      <c r="A80" s="11" t="s">
        <v>54</v>
      </c>
      <c r="B80" s="12">
        <v>268858</v>
      </c>
      <c r="C80" t="str">
        <f t="shared" si="2"/>
        <v>C</v>
      </c>
      <c r="I80" s="11" t="s">
        <v>105</v>
      </c>
      <c r="J80" s="15">
        <v>0.19793251150028301</v>
      </c>
      <c r="K80" t="s">
        <v>13</v>
      </c>
      <c r="L80" t="s">
        <v>20</v>
      </c>
      <c r="M80">
        <f t="shared" si="3"/>
        <v>1240958</v>
      </c>
    </row>
    <row r="81" spans="1:13">
      <c r="A81" s="11" t="s">
        <v>80</v>
      </c>
      <c r="B81" s="12">
        <v>693818</v>
      </c>
      <c r="C81" t="str">
        <f t="shared" si="2"/>
        <v>C</v>
      </c>
      <c r="I81" s="11" t="s">
        <v>125</v>
      </c>
      <c r="J81" s="15">
        <v>0.11172248531806651</v>
      </c>
      <c r="K81" t="s">
        <v>13</v>
      </c>
      <c r="L81" t="s">
        <v>20</v>
      </c>
      <c r="M81">
        <f t="shared" si="3"/>
        <v>1083782</v>
      </c>
    </row>
    <row r="82" spans="1:13">
      <c r="A82" s="11" t="s">
        <v>227</v>
      </c>
      <c r="B82" s="12">
        <v>499246</v>
      </c>
      <c r="C82" t="str">
        <f t="shared" si="2"/>
        <v>C</v>
      </c>
      <c r="I82" s="11" t="s">
        <v>282</v>
      </c>
      <c r="J82" s="15">
        <v>0.12500725309755106</v>
      </c>
      <c r="K82" t="s">
        <v>13</v>
      </c>
      <c r="L82" t="s">
        <v>20</v>
      </c>
      <c r="M82">
        <f t="shared" si="3"/>
        <v>267233</v>
      </c>
    </row>
    <row r="83" spans="1:13">
      <c r="A83" s="11" t="s">
        <v>228</v>
      </c>
      <c r="B83" s="12">
        <v>523141</v>
      </c>
      <c r="C83" t="str">
        <f t="shared" si="2"/>
        <v>C</v>
      </c>
      <c r="I83" s="11" t="s">
        <v>135</v>
      </c>
      <c r="J83" s="15">
        <v>0.14704181214495121</v>
      </c>
      <c r="K83" t="s">
        <v>13</v>
      </c>
      <c r="L83" t="s">
        <v>20</v>
      </c>
      <c r="M83">
        <f t="shared" si="3"/>
        <v>263323</v>
      </c>
    </row>
    <row r="84" spans="1:13">
      <c r="A84" s="11" t="s">
        <v>257</v>
      </c>
      <c r="B84" s="12">
        <v>244770</v>
      </c>
      <c r="C84" t="str">
        <f t="shared" si="2"/>
        <v>C</v>
      </c>
      <c r="I84" s="11" t="s">
        <v>166</v>
      </c>
      <c r="J84" s="15">
        <v>0.16594494809507149</v>
      </c>
      <c r="K84" t="s">
        <v>13</v>
      </c>
      <c r="L84" t="s">
        <v>20</v>
      </c>
      <c r="M84">
        <f t="shared" si="3"/>
        <v>467183</v>
      </c>
    </row>
    <row r="85" spans="1:13">
      <c r="A85" s="11" t="s">
        <v>238</v>
      </c>
      <c r="B85" s="12">
        <v>261104</v>
      </c>
      <c r="C85" t="str">
        <f t="shared" si="2"/>
        <v>C</v>
      </c>
      <c r="I85" s="11" t="s">
        <v>115</v>
      </c>
      <c r="J85" s="15">
        <v>0.51848573059349345</v>
      </c>
      <c r="K85" t="s">
        <v>13</v>
      </c>
      <c r="L85" t="s">
        <v>19</v>
      </c>
      <c r="M85">
        <f t="shared" si="3"/>
        <v>1118882</v>
      </c>
    </row>
    <row r="86" spans="1:13">
      <c r="A86" s="11" t="s">
        <v>193</v>
      </c>
      <c r="B86" s="12">
        <v>301779</v>
      </c>
      <c r="C86" t="str">
        <f t="shared" si="2"/>
        <v>C</v>
      </c>
      <c r="I86" s="11" t="s">
        <v>96</v>
      </c>
      <c r="J86" s="15">
        <v>0.70491671625182795</v>
      </c>
      <c r="K86" t="s">
        <v>13</v>
      </c>
      <c r="L86" t="s">
        <v>19</v>
      </c>
      <c r="M86">
        <f t="shared" si="3"/>
        <v>1155241</v>
      </c>
    </row>
    <row r="87" spans="1:13">
      <c r="A87" s="11" t="s">
        <v>100</v>
      </c>
      <c r="B87" s="12">
        <v>223471</v>
      </c>
      <c r="C87" t="str">
        <f t="shared" si="2"/>
        <v>C</v>
      </c>
      <c r="I87" s="11" t="s">
        <v>269</v>
      </c>
      <c r="J87" s="15">
        <v>0.74446477558143398</v>
      </c>
      <c r="K87" t="s">
        <v>13</v>
      </c>
      <c r="L87" t="s">
        <v>19</v>
      </c>
      <c r="M87">
        <f t="shared" si="3"/>
        <v>467682</v>
      </c>
    </row>
    <row r="88" spans="1:13">
      <c r="A88" s="11" t="s">
        <v>180</v>
      </c>
      <c r="B88" s="12">
        <v>213698</v>
      </c>
      <c r="C88" t="str">
        <f t="shared" si="2"/>
        <v>C</v>
      </c>
      <c r="I88" s="11" t="s">
        <v>133</v>
      </c>
      <c r="J88" s="15">
        <v>0.74147540856142979</v>
      </c>
      <c r="K88" t="s">
        <v>13</v>
      </c>
      <c r="L88" t="s">
        <v>19</v>
      </c>
      <c r="M88">
        <f t="shared" si="3"/>
        <v>303188</v>
      </c>
    </row>
    <row r="89" spans="1:13">
      <c r="A89" s="11" t="s">
        <v>275</v>
      </c>
      <c r="B89" s="12">
        <v>256961</v>
      </c>
      <c r="C89" t="str">
        <f t="shared" si="2"/>
        <v>C</v>
      </c>
      <c r="I89" s="11" t="s">
        <v>101</v>
      </c>
      <c r="J89" s="15">
        <v>0.663605758772285</v>
      </c>
      <c r="K89" t="s">
        <v>13</v>
      </c>
      <c r="L89" t="s">
        <v>19</v>
      </c>
      <c r="M89">
        <f t="shared" si="3"/>
        <v>467917</v>
      </c>
    </row>
    <row r="90" spans="1:13">
      <c r="A90" s="11" t="s">
        <v>61</v>
      </c>
      <c r="B90" s="12">
        <v>292200</v>
      </c>
      <c r="C90" t="str">
        <f t="shared" si="2"/>
        <v>C</v>
      </c>
      <c r="I90" s="27" t="s">
        <v>75</v>
      </c>
      <c r="J90" s="17">
        <v>0.57034419447295781</v>
      </c>
      <c r="K90" t="s">
        <v>13</v>
      </c>
      <c r="L90" s="29" t="s">
        <v>19</v>
      </c>
      <c r="M90">
        <f t="shared" si="3"/>
        <v>252146</v>
      </c>
    </row>
    <row r="91" spans="1:13">
      <c r="A91" s="11" t="s">
        <v>81</v>
      </c>
      <c r="B91" s="12">
        <v>1010773</v>
      </c>
      <c r="C91" t="str">
        <f t="shared" si="2"/>
        <v>C</v>
      </c>
      <c r="I91" s="11" t="s">
        <v>264</v>
      </c>
      <c r="J91" s="15">
        <v>0.76672774343399241</v>
      </c>
      <c r="K91" t="s">
        <v>13</v>
      </c>
      <c r="L91" t="s">
        <v>19</v>
      </c>
      <c r="M91">
        <f t="shared" si="3"/>
        <v>487024</v>
      </c>
    </row>
    <row r="92" spans="1:13">
      <c r="A92" s="11" t="s">
        <v>194</v>
      </c>
      <c r="B92" s="12">
        <v>230473</v>
      </c>
      <c r="C92" t="str">
        <f t="shared" si="2"/>
        <v>C</v>
      </c>
      <c r="I92" s="11" t="s">
        <v>91</v>
      </c>
      <c r="J92" s="15">
        <v>0.50397444801307179</v>
      </c>
      <c r="K92" t="s">
        <v>13</v>
      </c>
      <c r="L92" t="s">
        <v>19</v>
      </c>
      <c r="M92">
        <f t="shared" si="3"/>
        <v>620527</v>
      </c>
    </row>
    <row r="93" spans="1:13">
      <c r="A93" s="11" t="s">
        <v>147</v>
      </c>
      <c r="B93" s="12">
        <v>527474</v>
      </c>
      <c r="C93" t="str">
        <f t="shared" si="2"/>
        <v>C</v>
      </c>
      <c r="I93" s="11" t="s">
        <v>50</v>
      </c>
      <c r="J93" s="15">
        <v>0.67036657611841766</v>
      </c>
      <c r="K93" t="s">
        <v>13</v>
      </c>
      <c r="L93" t="s">
        <v>19</v>
      </c>
      <c r="M93">
        <f t="shared" si="3"/>
        <v>375746</v>
      </c>
    </row>
    <row r="94" spans="1:13">
      <c r="A94" s="11" t="s">
        <v>136</v>
      </c>
      <c r="B94" s="12">
        <v>443850</v>
      </c>
      <c r="C94" t="str">
        <f t="shared" si="2"/>
        <v>C</v>
      </c>
      <c r="I94" s="11" t="s">
        <v>113</v>
      </c>
      <c r="J94" s="15">
        <v>0.66568198847027538</v>
      </c>
      <c r="K94" t="s">
        <v>13</v>
      </c>
      <c r="L94" t="s">
        <v>19</v>
      </c>
      <c r="M94">
        <f t="shared" si="3"/>
        <v>316371</v>
      </c>
    </row>
    <row r="95" spans="1:13">
      <c r="A95" s="11" t="s">
        <v>255</v>
      </c>
      <c r="B95" s="12">
        <v>163841</v>
      </c>
      <c r="C95" t="str">
        <f t="shared" si="2"/>
        <v>C</v>
      </c>
      <c r="I95" s="11" t="s">
        <v>192</v>
      </c>
      <c r="J95" s="15">
        <v>0.60887429243910773</v>
      </c>
      <c r="K95" t="s">
        <v>13</v>
      </c>
      <c r="L95" t="s">
        <v>19</v>
      </c>
      <c r="M95">
        <f t="shared" si="3"/>
        <v>346040</v>
      </c>
    </row>
    <row r="96" spans="1:13">
      <c r="A96" s="11" t="s">
        <v>104</v>
      </c>
      <c r="B96" s="12">
        <v>1133843</v>
      </c>
      <c r="C96" t="str">
        <f t="shared" si="2"/>
        <v>C</v>
      </c>
      <c r="I96" s="11" t="s">
        <v>181</v>
      </c>
      <c r="J96" s="15">
        <v>0.59772877186010831</v>
      </c>
      <c r="K96" t="s">
        <v>13</v>
      </c>
      <c r="L96" t="s">
        <v>19</v>
      </c>
      <c r="M96">
        <f t="shared" si="3"/>
        <v>676850</v>
      </c>
    </row>
    <row r="97" spans="1:13">
      <c r="A97" s="11" t="s">
        <v>152</v>
      </c>
      <c r="B97" s="12">
        <v>125704</v>
      </c>
      <c r="C97" t="str">
        <f t="shared" si="2"/>
        <v>C</v>
      </c>
      <c r="I97" s="11" t="s">
        <v>138</v>
      </c>
      <c r="J97" s="15">
        <v>0.58373106262898211</v>
      </c>
      <c r="K97" t="s">
        <v>13</v>
      </c>
      <c r="L97" t="s">
        <v>19</v>
      </c>
      <c r="M97">
        <f t="shared" si="3"/>
        <v>898010</v>
      </c>
    </row>
    <row r="98" spans="1:13">
      <c r="A98" s="11" t="s">
        <v>128</v>
      </c>
      <c r="B98" s="12">
        <v>124878</v>
      </c>
      <c r="C98" t="str">
        <f t="shared" si="2"/>
        <v>C</v>
      </c>
      <c r="I98" s="11" t="s">
        <v>103</v>
      </c>
      <c r="J98" s="15">
        <v>0.77844182872943901</v>
      </c>
      <c r="K98" t="s">
        <v>13</v>
      </c>
      <c r="L98" t="s">
        <v>19</v>
      </c>
      <c r="M98">
        <f t="shared" si="3"/>
        <v>943743</v>
      </c>
    </row>
    <row r="99" spans="1:13">
      <c r="A99" s="11" t="s">
        <v>165</v>
      </c>
      <c r="B99" s="12">
        <v>115363</v>
      </c>
      <c r="C99" t="str">
        <f t="shared" si="2"/>
        <v>C</v>
      </c>
      <c r="I99" s="11" t="s">
        <v>65</v>
      </c>
      <c r="J99" s="15">
        <v>0.48409918465183693</v>
      </c>
      <c r="K99" t="s">
        <v>13</v>
      </c>
      <c r="L99" t="s">
        <v>19</v>
      </c>
      <c r="M99">
        <f t="shared" si="3"/>
        <v>525464</v>
      </c>
    </row>
    <row r="100" spans="1:13">
      <c r="A100" s="11" t="s">
        <v>149</v>
      </c>
      <c r="B100" s="12">
        <v>124952</v>
      </c>
      <c r="C100" t="str">
        <f t="shared" si="2"/>
        <v>C</v>
      </c>
      <c r="I100" s="11" t="s">
        <v>228</v>
      </c>
      <c r="J100" s="15">
        <v>0.59070562053021425</v>
      </c>
      <c r="K100" t="s">
        <v>13</v>
      </c>
      <c r="L100" t="s">
        <v>19</v>
      </c>
      <c r="M100">
        <f t="shared" si="3"/>
        <v>523141</v>
      </c>
    </row>
    <row r="101" spans="1:13">
      <c r="A101" s="11" t="s">
        <v>218</v>
      </c>
      <c r="B101" s="12">
        <v>118339</v>
      </c>
      <c r="C101" t="str">
        <f t="shared" si="2"/>
        <v>C</v>
      </c>
      <c r="I101" s="11" t="s">
        <v>194</v>
      </c>
      <c r="J101" s="15">
        <v>0.5137399813261857</v>
      </c>
      <c r="K101" t="s">
        <v>13</v>
      </c>
      <c r="L101" t="s">
        <v>19</v>
      </c>
      <c r="M101">
        <f t="shared" si="3"/>
        <v>230473</v>
      </c>
    </row>
    <row r="102" spans="1:13">
      <c r="A102" s="11" t="s">
        <v>73</v>
      </c>
      <c r="B102" s="12">
        <v>184977</v>
      </c>
      <c r="C102" t="str">
        <f t="shared" si="2"/>
        <v>C</v>
      </c>
      <c r="I102" s="11" t="s">
        <v>147</v>
      </c>
      <c r="J102" s="15">
        <v>0.3062752692943706</v>
      </c>
      <c r="K102" t="s">
        <v>13</v>
      </c>
      <c r="L102" t="s">
        <v>19</v>
      </c>
      <c r="M102">
        <f t="shared" si="3"/>
        <v>527474</v>
      </c>
    </row>
    <row r="103" spans="1:13">
      <c r="A103" s="11" t="s">
        <v>242</v>
      </c>
      <c r="B103" s="12">
        <v>701433</v>
      </c>
      <c r="C103" t="str">
        <f t="shared" si="2"/>
        <v>C</v>
      </c>
      <c r="I103" s="11" t="s">
        <v>242</v>
      </c>
      <c r="J103" s="15">
        <v>0.78645269599593248</v>
      </c>
      <c r="K103" t="s">
        <v>13</v>
      </c>
      <c r="L103" t="s">
        <v>19</v>
      </c>
      <c r="M103">
        <f t="shared" si="3"/>
        <v>701433</v>
      </c>
    </row>
    <row r="104" spans="1:13">
      <c r="A104" s="11" t="s">
        <v>172</v>
      </c>
      <c r="B104" s="12">
        <v>499953</v>
      </c>
      <c r="C104" t="str">
        <f t="shared" si="2"/>
        <v>C</v>
      </c>
      <c r="I104" s="11" t="s">
        <v>84</v>
      </c>
      <c r="J104" s="15">
        <v>0.63447070397797034</v>
      </c>
      <c r="K104" t="s">
        <v>13</v>
      </c>
      <c r="L104" t="s">
        <v>19</v>
      </c>
      <c r="M104">
        <f t="shared" si="3"/>
        <v>324584</v>
      </c>
    </row>
    <row r="105" spans="1:13">
      <c r="A105" s="11" t="s">
        <v>277</v>
      </c>
      <c r="B105" s="12">
        <v>315414</v>
      </c>
      <c r="C105" t="str">
        <f t="shared" si="2"/>
        <v>C</v>
      </c>
      <c r="I105" s="11" t="s">
        <v>70</v>
      </c>
      <c r="J105" s="15">
        <v>0.63179191903410536</v>
      </c>
      <c r="K105" t="s">
        <v>13</v>
      </c>
      <c r="L105" t="s">
        <v>19</v>
      </c>
      <c r="M105">
        <f t="shared" si="3"/>
        <v>258569</v>
      </c>
    </row>
    <row r="106" spans="1:13">
      <c r="A106" s="11" t="s">
        <v>84</v>
      </c>
      <c r="B106" s="12">
        <v>324584</v>
      </c>
      <c r="C106" t="str">
        <f t="shared" si="2"/>
        <v>C</v>
      </c>
      <c r="I106" s="11" t="s">
        <v>196</v>
      </c>
      <c r="J106" s="15">
        <v>0.53571016704093233</v>
      </c>
      <c r="K106" t="s">
        <v>13</v>
      </c>
      <c r="L106" t="s">
        <v>19</v>
      </c>
      <c r="M106">
        <f t="shared" si="3"/>
        <v>1598947</v>
      </c>
    </row>
    <row r="107" spans="1:13">
      <c r="A107" s="11" t="s">
        <v>89</v>
      </c>
      <c r="B107" s="12">
        <v>223241</v>
      </c>
      <c r="C107" t="str">
        <f t="shared" si="2"/>
        <v>C</v>
      </c>
      <c r="I107" s="11" t="s">
        <v>161</v>
      </c>
      <c r="J107" s="15">
        <v>0.82893458205347537</v>
      </c>
      <c r="K107" t="s">
        <v>13</v>
      </c>
      <c r="L107" t="s">
        <v>19</v>
      </c>
      <c r="M107">
        <f t="shared" si="3"/>
        <v>255909</v>
      </c>
    </row>
    <row r="108" spans="1:13">
      <c r="A108" s="11" t="s">
        <v>178</v>
      </c>
      <c r="B108" s="12">
        <v>529342</v>
      </c>
      <c r="C108" t="str">
        <f t="shared" si="2"/>
        <v>C</v>
      </c>
      <c r="I108" s="11" t="s">
        <v>173</v>
      </c>
      <c r="J108" s="15">
        <v>0.75535813155607912</v>
      </c>
      <c r="K108" t="s">
        <v>13</v>
      </c>
      <c r="L108" t="s">
        <v>19</v>
      </c>
      <c r="M108">
        <f t="shared" si="3"/>
        <v>523356</v>
      </c>
    </row>
    <row r="109" spans="1:13">
      <c r="A109" s="11" t="s">
        <v>163</v>
      </c>
      <c r="B109" s="12">
        <v>151168</v>
      </c>
      <c r="C109" t="str">
        <f t="shared" si="2"/>
        <v>C</v>
      </c>
      <c r="I109" s="11" t="s">
        <v>95</v>
      </c>
      <c r="J109" s="15">
        <v>0.58829974481763603</v>
      </c>
      <c r="K109" t="s">
        <v>13</v>
      </c>
      <c r="L109" t="s">
        <v>19</v>
      </c>
      <c r="M109">
        <f t="shared" si="3"/>
        <v>1184589</v>
      </c>
    </row>
    <row r="110" spans="1:13">
      <c r="A110" s="11" t="s">
        <v>226</v>
      </c>
      <c r="B110" s="12">
        <v>121928</v>
      </c>
      <c r="C110" t="str">
        <f t="shared" si="2"/>
        <v>C</v>
      </c>
      <c r="I110" s="11" t="s">
        <v>283</v>
      </c>
      <c r="J110" s="15">
        <v>0.77557532696634701</v>
      </c>
      <c r="K110" t="s">
        <v>13</v>
      </c>
      <c r="L110" t="s">
        <v>19</v>
      </c>
      <c r="M110">
        <f t="shared" si="3"/>
        <v>490974</v>
      </c>
    </row>
    <row r="111" spans="1:13">
      <c r="A111" s="11" t="s">
        <v>248</v>
      </c>
      <c r="B111" s="12">
        <v>106775</v>
      </c>
      <c r="C111" t="str">
        <f t="shared" si="2"/>
        <v>C</v>
      </c>
      <c r="I111" s="11" t="s">
        <v>190</v>
      </c>
      <c r="J111" s="15">
        <v>0.36040511692689375</v>
      </c>
      <c r="K111" t="s">
        <v>13</v>
      </c>
      <c r="L111" t="s">
        <v>19</v>
      </c>
      <c r="M111">
        <f t="shared" si="3"/>
        <v>1051587</v>
      </c>
    </row>
    <row r="112" spans="1:13">
      <c r="A112" s="11" t="s">
        <v>70</v>
      </c>
      <c r="B112" s="12">
        <v>258569</v>
      </c>
      <c r="C112" t="str">
        <f t="shared" si="2"/>
        <v>C</v>
      </c>
      <c r="I112" s="11" t="s">
        <v>244</v>
      </c>
      <c r="J112" s="15">
        <v>0.74924092893108818</v>
      </c>
      <c r="K112" t="s">
        <v>13</v>
      </c>
      <c r="L112" t="s">
        <v>19</v>
      </c>
      <c r="M112">
        <f t="shared" si="3"/>
        <v>303752</v>
      </c>
    </row>
    <row r="113" spans="1:13">
      <c r="A113" s="11" t="s">
        <v>148</v>
      </c>
      <c r="B113" s="12">
        <v>153199</v>
      </c>
      <c r="C113" t="str">
        <f t="shared" si="2"/>
        <v>C</v>
      </c>
      <c r="I113" s="11" t="s">
        <v>243</v>
      </c>
      <c r="J113" s="15">
        <v>0.53724300597907959</v>
      </c>
      <c r="K113" t="s">
        <v>13</v>
      </c>
      <c r="L113" t="s">
        <v>19</v>
      </c>
      <c r="M113">
        <f t="shared" si="3"/>
        <v>801306</v>
      </c>
    </row>
    <row r="114" spans="1:13">
      <c r="A114" s="11" t="s">
        <v>196</v>
      </c>
      <c r="B114" s="12">
        <v>1598947</v>
      </c>
      <c r="C114" t="str">
        <f t="shared" si="2"/>
        <v>C</v>
      </c>
      <c r="I114" s="11" t="s">
        <v>191</v>
      </c>
      <c r="J114" s="15">
        <v>0.69593389000154682</v>
      </c>
      <c r="K114" t="s">
        <v>13</v>
      </c>
      <c r="L114" t="s">
        <v>19</v>
      </c>
      <c r="M114">
        <f t="shared" si="3"/>
        <v>720678</v>
      </c>
    </row>
    <row r="115" spans="1:13">
      <c r="A115" s="11" t="s">
        <v>261</v>
      </c>
      <c r="B115" s="12">
        <v>138378</v>
      </c>
      <c r="C115" t="str">
        <f t="shared" si="2"/>
        <v>C</v>
      </c>
      <c r="I115" s="11" t="s">
        <v>183</v>
      </c>
      <c r="J115" s="15">
        <v>0.65364054707499997</v>
      </c>
      <c r="K115" t="s">
        <v>13</v>
      </c>
      <c r="L115" t="s">
        <v>19</v>
      </c>
      <c r="M115">
        <f t="shared" si="3"/>
        <v>758515</v>
      </c>
    </row>
    <row r="116" spans="1:13">
      <c r="A116" s="11" t="s">
        <v>253</v>
      </c>
      <c r="B116" s="12">
        <v>117071</v>
      </c>
      <c r="C116" t="str">
        <f t="shared" si="2"/>
        <v>C</v>
      </c>
      <c r="I116" s="11" t="s">
        <v>159</v>
      </c>
      <c r="J116" s="15">
        <v>0.91699360338992741</v>
      </c>
      <c r="K116" t="s">
        <v>13</v>
      </c>
      <c r="L116" t="s">
        <v>19</v>
      </c>
      <c r="M116">
        <f t="shared" si="3"/>
        <v>685983</v>
      </c>
    </row>
    <row r="117" spans="1:13">
      <c r="A117" s="11" t="s">
        <v>161</v>
      </c>
      <c r="B117" s="12">
        <v>255909</v>
      </c>
      <c r="C117" t="str">
        <f t="shared" si="2"/>
        <v>C</v>
      </c>
      <c r="I117" s="11" t="s">
        <v>140</v>
      </c>
      <c r="J117" s="15">
        <v>0.74619753914114462</v>
      </c>
      <c r="K117" t="s">
        <v>13</v>
      </c>
      <c r="L117" t="s">
        <v>19</v>
      </c>
      <c r="M117">
        <f t="shared" si="3"/>
        <v>490329</v>
      </c>
    </row>
    <row r="118" spans="1:13">
      <c r="A118" s="11" t="s">
        <v>179</v>
      </c>
      <c r="B118" s="12">
        <v>139825</v>
      </c>
      <c r="C118" t="str">
        <f t="shared" si="2"/>
        <v>C</v>
      </c>
      <c r="I118" s="11" t="s">
        <v>260</v>
      </c>
      <c r="J118" s="15">
        <v>0.6240291724429321</v>
      </c>
      <c r="K118" t="s">
        <v>13</v>
      </c>
      <c r="L118" t="s">
        <v>19</v>
      </c>
      <c r="M118">
        <f t="shared" si="3"/>
        <v>310857</v>
      </c>
    </row>
    <row r="119" spans="1:13">
      <c r="A119" s="11" t="s">
        <v>154</v>
      </c>
      <c r="B119" s="12">
        <v>118177</v>
      </c>
      <c r="C119" t="str">
        <f t="shared" si="2"/>
        <v>C</v>
      </c>
      <c r="I119" s="11" t="s">
        <v>217</v>
      </c>
      <c r="J119" s="15">
        <v>0.40699357213226101</v>
      </c>
      <c r="K119" t="s">
        <v>13</v>
      </c>
      <c r="L119" t="s">
        <v>19</v>
      </c>
      <c r="M119">
        <f t="shared" si="3"/>
        <v>297280</v>
      </c>
    </row>
    <row r="120" spans="1:13">
      <c r="A120" s="11" t="s">
        <v>176</v>
      </c>
      <c r="B120" s="12">
        <v>196269</v>
      </c>
      <c r="C120" t="str">
        <f t="shared" si="2"/>
        <v>C</v>
      </c>
      <c r="I120" s="11" t="s">
        <v>205</v>
      </c>
      <c r="J120" s="15">
        <v>0.64242760184390613</v>
      </c>
      <c r="K120" t="s">
        <v>13</v>
      </c>
      <c r="L120" t="s">
        <v>19</v>
      </c>
      <c r="M120">
        <f t="shared" si="3"/>
        <v>1142774</v>
      </c>
    </row>
    <row r="121" spans="1:13">
      <c r="A121" s="11" t="s">
        <v>130</v>
      </c>
      <c r="B121" s="12">
        <v>657643</v>
      </c>
      <c r="C121" t="str">
        <f t="shared" si="2"/>
        <v>C</v>
      </c>
      <c r="I121" s="11" t="s">
        <v>220</v>
      </c>
      <c r="J121" s="15">
        <v>2.6886387877402381E-2</v>
      </c>
      <c r="K121" t="s">
        <v>14</v>
      </c>
      <c r="L121" t="s">
        <v>21</v>
      </c>
      <c r="M121">
        <f t="shared" si="3"/>
        <v>196828</v>
      </c>
    </row>
    <row r="122" spans="1:13">
      <c r="A122" s="11" t="s">
        <v>173</v>
      </c>
      <c r="B122" s="12">
        <v>523356</v>
      </c>
      <c r="C122" t="str">
        <f t="shared" si="2"/>
        <v>C</v>
      </c>
      <c r="I122" s="11" t="s">
        <v>72</v>
      </c>
      <c r="J122" s="15">
        <v>2.2437134842732631E-2</v>
      </c>
      <c r="K122" t="s">
        <v>14</v>
      </c>
      <c r="L122" t="s">
        <v>21</v>
      </c>
      <c r="M122">
        <f t="shared" si="3"/>
        <v>171932</v>
      </c>
    </row>
    <row r="123" spans="1:13">
      <c r="A123" s="11" t="s">
        <v>117</v>
      </c>
      <c r="B123" s="12">
        <v>1245444</v>
      </c>
      <c r="C123" t="str">
        <f t="shared" si="2"/>
        <v>C</v>
      </c>
      <c r="I123" s="11" t="s">
        <v>67</v>
      </c>
      <c r="J123" s="15">
        <v>2.6505095486496214E-2</v>
      </c>
      <c r="K123" t="s">
        <v>14</v>
      </c>
      <c r="L123" t="s">
        <v>21</v>
      </c>
      <c r="M123">
        <f t="shared" si="3"/>
        <v>128469</v>
      </c>
    </row>
    <row r="124" spans="1:13">
      <c r="A124" s="11" t="s">
        <v>175</v>
      </c>
      <c r="B124" s="12">
        <v>140120</v>
      </c>
      <c r="C124" t="str">
        <f t="shared" si="2"/>
        <v>C</v>
      </c>
      <c r="I124" s="11" t="s">
        <v>250</v>
      </c>
      <c r="J124" s="15">
        <v>2.9926234969158347E-2</v>
      </c>
      <c r="K124" t="s">
        <v>14</v>
      </c>
      <c r="L124" t="s">
        <v>21</v>
      </c>
      <c r="M124">
        <f t="shared" si="3"/>
        <v>157726</v>
      </c>
    </row>
    <row r="125" spans="1:13">
      <c r="A125" s="11" t="s">
        <v>97</v>
      </c>
      <c r="B125" s="12">
        <v>147009</v>
      </c>
      <c r="C125" t="str">
        <f t="shared" si="2"/>
        <v>C</v>
      </c>
      <c r="I125" s="11" t="s">
        <v>123</v>
      </c>
      <c r="J125" s="15">
        <v>2.0007040839839643E-2</v>
      </c>
      <c r="K125" t="s">
        <v>14</v>
      </c>
      <c r="L125" t="s">
        <v>21</v>
      </c>
      <c r="M125">
        <f t="shared" si="3"/>
        <v>189363</v>
      </c>
    </row>
    <row r="126" spans="1:13">
      <c r="A126" s="11" t="s">
        <v>199</v>
      </c>
      <c r="B126" s="12">
        <v>162966</v>
      </c>
      <c r="C126" t="str">
        <f t="shared" si="2"/>
        <v>C</v>
      </c>
      <c r="I126" s="11" t="s">
        <v>160</v>
      </c>
      <c r="J126" s="15">
        <v>2.4598236295027297E-2</v>
      </c>
      <c r="K126" t="s">
        <v>14</v>
      </c>
      <c r="L126" t="s">
        <v>21</v>
      </c>
      <c r="M126">
        <f t="shared" si="3"/>
        <v>133076</v>
      </c>
    </row>
    <row r="127" spans="1:13">
      <c r="A127" s="11" t="s">
        <v>169</v>
      </c>
      <c r="B127" s="12">
        <v>176247</v>
      </c>
      <c r="C127" t="str">
        <f t="shared" si="2"/>
        <v>C</v>
      </c>
      <c r="I127" s="11" t="s">
        <v>126</v>
      </c>
      <c r="J127" s="15">
        <v>2.3566935685822989E-2</v>
      </c>
      <c r="K127" t="s">
        <v>14</v>
      </c>
      <c r="L127" t="s">
        <v>21</v>
      </c>
      <c r="M127">
        <f t="shared" si="3"/>
        <v>142301</v>
      </c>
    </row>
    <row r="128" spans="1:13">
      <c r="A128" s="11" t="s">
        <v>202</v>
      </c>
      <c r="B128" s="12">
        <v>721272</v>
      </c>
      <c r="C128" t="str">
        <f t="shared" si="2"/>
        <v>C</v>
      </c>
      <c r="I128" s="11" t="s">
        <v>63</v>
      </c>
      <c r="J128" s="15">
        <v>2.8632975823603409E-2</v>
      </c>
      <c r="K128" t="s">
        <v>14</v>
      </c>
      <c r="L128" t="s">
        <v>21</v>
      </c>
      <c r="M128">
        <f t="shared" si="3"/>
        <v>143330</v>
      </c>
    </row>
    <row r="129" spans="1:13">
      <c r="A129" s="11" t="s">
        <v>207</v>
      </c>
      <c r="B129" s="12">
        <v>117001</v>
      </c>
      <c r="C129" t="str">
        <f t="shared" si="2"/>
        <v>C</v>
      </c>
      <c r="I129" s="11" t="s">
        <v>59</v>
      </c>
      <c r="J129" s="15">
        <v>2.9625033558010595E-2</v>
      </c>
      <c r="K129" t="s">
        <v>14</v>
      </c>
      <c r="L129" t="s">
        <v>21</v>
      </c>
      <c r="M129">
        <f t="shared" si="3"/>
        <v>127399</v>
      </c>
    </row>
    <row r="130" spans="1:13">
      <c r="A130" s="11" t="s">
        <v>120</v>
      </c>
      <c r="B130" s="12">
        <v>137905</v>
      </c>
      <c r="C130" t="str">
        <f t="shared" si="2"/>
        <v>C</v>
      </c>
      <c r="I130" s="11" t="s">
        <v>234</v>
      </c>
      <c r="J130" s="15">
        <v>2.2963902714307309E-2</v>
      </c>
      <c r="K130" t="s">
        <v>14</v>
      </c>
      <c r="L130" t="s">
        <v>21</v>
      </c>
      <c r="M130">
        <f t="shared" si="3"/>
        <v>179911</v>
      </c>
    </row>
    <row r="131" spans="1:13">
      <c r="A131" s="11" t="s">
        <v>108</v>
      </c>
      <c r="B131" s="12">
        <v>133756</v>
      </c>
      <c r="C131" t="str">
        <f t="shared" ref="C131:C194" si="4">VLOOKUP(B131,$O$7:$P$9,2,1)</f>
        <v>C</v>
      </c>
      <c r="I131" s="11" t="s">
        <v>82</v>
      </c>
      <c r="J131" s="15">
        <v>9.9141684185480902E-2</v>
      </c>
      <c r="K131" t="s">
        <v>14</v>
      </c>
      <c r="L131" t="s">
        <v>21</v>
      </c>
      <c r="M131">
        <f t="shared" ref="M131:M194" si="5">VLOOKUP(I131,$A:$B,2,0)</f>
        <v>147233</v>
      </c>
    </row>
    <row r="132" spans="1:13">
      <c r="A132" s="11" t="s">
        <v>211</v>
      </c>
      <c r="B132" s="12">
        <v>144843</v>
      </c>
      <c r="C132" t="str">
        <f t="shared" si="4"/>
        <v>C</v>
      </c>
      <c r="I132" s="11" t="s">
        <v>100</v>
      </c>
      <c r="J132" s="15">
        <v>2.6902131472323169E-2</v>
      </c>
      <c r="K132" t="s">
        <v>14</v>
      </c>
      <c r="L132" t="s">
        <v>21</v>
      </c>
      <c r="M132">
        <f t="shared" si="5"/>
        <v>223471</v>
      </c>
    </row>
    <row r="133" spans="1:13">
      <c r="A133" s="11" t="s">
        <v>121</v>
      </c>
      <c r="B133" s="12">
        <v>110007</v>
      </c>
      <c r="C133" t="str">
        <f t="shared" si="4"/>
        <v>C</v>
      </c>
      <c r="I133" s="11" t="s">
        <v>180</v>
      </c>
      <c r="J133" s="15">
        <v>2.8023969787248231E-2</v>
      </c>
      <c r="K133" t="s">
        <v>14</v>
      </c>
      <c r="L133" t="s">
        <v>21</v>
      </c>
      <c r="M133">
        <f t="shared" si="5"/>
        <v>213698</v>
      </c>
    </row>
    <row r="134" spans="1:13">
      <c r="A134" s="11" t="s">
        <v>215</v>
      </c>
      <c r="B134" s="12">
        <v>143859</v>
      </c>
      <c r="C134" t="str">
        <f t="shared" si="4"/>
        <v>C</v>
      </c>
      <c r="I134" s="11" t="s">
        <v>89</v>
      </c>
      <c r="J134" s="15">
        <v>2.4838694363579418E-2</v>
      </c>
      <c r="K134" t="s">
        <v>14</v>
      </c>
      <c r="L134" t="s">
        <v>21</v>
      </c>
      <c r="M134">
        <f t="shared" si="5"/>
        <v>223241</v>
      </c>
    </row>
    <row r="135" spans="1:13">
      <c r="A135" s="11" t="s">
        <v>212</v>
      </c>
      <c r="B135" s="12">
        <v>289585</v>
      </c>
      <c r="C135" t="str">
        <f t="shared" si="4"/>
        <v>C</v>
      </c>
      <c r="I135" s="11" t="s">
        <v>148</v>
      </c>
      <c r="J135" s="15">
        <v>1.28238199740838E-2</v>
      </c>
      <c r="K135" t="s">
        <v>14</v>
      </c>
      <c r="L135" t="s">
        <v>21</v>
      </c>
      <c r="M135">
        <f t="shared" si="5"/>
        <v>153199</v>
      </c>
    </row>
    <row r="136" spans="1:13">
      <c r="A136" s="11" t="s">
        <v>60</v>
      </c>
      <c r="B136" s="12">
        <v>823357</v>
      </c>
      <c r="C136" t="str">
        <f t="shared" si="4"/>
        <v>C</v>
      </c>
      <c r="I136" s="11" t="s">
        <v>261</v>
      </c>
      <c r="J136" s="15">
        <v>2.3552729851455328E-2</v>
      </c>
      <c r="K136" t="s">
        <v>14</v>
      </c>
      <c r="L136" t="s">
        <v>21</v>
      </c>
      <c r="M136">
        <f t="shared" si="5"/>
        <v>138378</v>
      </c>
    </row>
    <row r="137" spans="1:13">
      <c r="A137" s="11" t="s">
        <v>162</v>
      </c>
      <c r="B137" s="12">
        <v>172130</v>
      </c>
      <c r="C137" t="str">
        <f t="shared" si="4"/>
        <v>C</v>
      </c>
      <c r="I137" s="11" t="s">
        <v>176</v>
      </c>
      <c r="J137" s="15">
        <v>1.3899155870892556E-2</v>
      </c>
      <c r="K137" t="s">
        <v>14</v>
      </c>
      <c r="L137" t="s">
        <v>21</v>
      </c>
      <c r="M137">
        <f t="shared" si="5"/>
        <v>196269</v>
      </c>
    </row>
    <row r="138" spans="1:13">
      <c r="A138" s="11" t="s">
        <v>187</v>
      </c>
      <c r="B138" s="12">
        <v>370695</v>
      </c>
      <c r="C138" t="str">
        <f t="shared" si="4"/>
        <v>C</v>
      </c>
      <c r="I138" s="11" t="s">
        <v>97</v>
      </c>
      <c r="J138" s="15">
        <v>3.0461828218577573E-2</v>
      </c>
      <c r="K138" t="s">
        <v>14</v>
      </c>
      <c r="L138" t="s">
        <v>21</v>
      </c>
      <c r="M138">
        <f t="shared" si="5"/>
        <v>147009</v>
      </c>
    </row>
    <row r="139" spans="1:13">
      <c r="A139" s="11" t="s">
        <v>164</v>
      </c>
      <c r="B139" s="12">
        <v>191817</v>
      </c>
      <c r="C139" t="str">
        <f t="shared" si="4"/>
        <v>C</v>
      </c>
      <c r="I139" s="11" t="s">
        <v>199</v>
      </c>
      <c r="J139" s="15">
        <v>2.0587806761791866E-2</v>
      </c>
      <c r="K139" t="s">
        <v>14</v>
      </c>
      <c r="L139" t="s">
        <v>21</v>
      </c>
      <c r="M139">
        <f t="shared" si="5"/>
        <v>162966</v>
      </c>
    </row>
    <row r="140" spans="1:13">
      <c r="A140" s="11" t="s">
        <v>95</v>
      </c>
      <c r="B140" s="12">
        <v>1184589</v>
      </c>
      <c r="C140" t="str">
        <f t="shared" si="4"/>
        <v>C</v>
      </c>
      <c r="I140" s="11" t="s">
        <v>108</v>
      </c>
      <c r="J140" s="15">
        <v>2.3978656643897776E-2</v>
      </c>
      <c r="K140" t="s">
        <v>14</v>
      </c>
      <c r="L140" t="s">
        <v>21</v>
      </c>
      <c r="M140">
        <f t="shared" si="5"/>
        <v>133756</v>
      </c>
    </row>
    <row r="141" spans="1:13">
      <c r="A141" s="11" t="s">
        <v>204</v>
      </c>
      <c r="B141" s="12">
        <v>206693</v>
      </c>
      <c r="C141" t="str">
        <f t="shared" si="4"/>
        <v>C</v>
      </c>
      <c r="I141" s="11" t="s">
        <v>162</v>
      </c>
      <c r="J141" s="15">
        <v>1.7676256362773944E-2</v>
      </c>
      <c r="K141" t="s">
        <v>14</v>
      </c>
      <c r="L141" t="s">
        <v>21</v>
      </c>
      <c r="M141">
        <f t="shared" si="5"/>
        <v>172130</v>
      </c>
    </row>
    <row r="142" spans="1:13">
      <c r="A142" s="11" t="s">
        <v>283</v>
      </c>
      <c r="B142" s="12">
        <v>490974</v>
      </c>
      <c r="C142" t="str">
        <f t="shared" si="4"/>
        <v>C</v>
      </c>
      <c r="I142" s="11" t="s">
        <v>204</v>
      </c>
      <c r="J142" s="15">
        <v>2.0987815082026143E-2</v>
      </c>
      <c r="K142" t="s">
        <v>14</v>
      </c>
      <c r="L142" t="s">
        <v>21</v>
      </c>
      <c r="M142">
        <f t="shared" si="5"/>
        <v>206693</v>
      </c>
    </row>
    <row r="143" spans="1:13">
      <c r="A143" s="11" t="s">
        <v>190</v>
      </c>
      <c r="B143" s="12">
        <v>1051587</v>
      </c>
      <c r="C143" t="str">
        <f t="shared" si="4"/>
        <v>C</v>
      </c>
      <c r="I143" s="11" t="s">
        <v>267</v>
      </c>
      <c r="J143" s="15">
        <v>2.3285542604857733E-2</v>
      </c>
      <c r="K143" t="s">
        <v>14</v>
      </c>
      <c r="L143" t="s">
        <v>21</v>
      </c>
      <c r="M143">
        <f t="shared" si="5"/>
        <v>209650</v>
      </c>
    </row>
    <row r="144" spans="1:13">
      <c r="A144" s="11" t="s">
        <v>276</v>
      </c>
      <c r="B144" s="12">
        <v>285466</v>
      </c>
      <c r="C144" t="str">
        <f t="shared" si="4"/>
        <v>C</v>
      </c>
      <c r="I144" s="11" t="s">
        <v>76</v>
      </c>
      <c r="J144" s="15">
        <v>2.8147729611666863E-2</v>
      </c>
      <c r="K144" t="s">
        <v>14</v>
      </c>
      <c r="L144" t="s">
        <v>21</v>
      </c>
      <c r="M144">
        <f t="shared" si="5"/>
        <v>220559</v>
      </c>
    </row>
    <row r="145" spans="1:13">
      <c r="A145" s="11" t="s">
        <v>197</v>
      </c>
      <c r="B145" s="12">
        <v>895275</v>
      </c>
      <c r="C145" t="str">
        <f t="shared" si="4"/>
        <v>C</v>
      </c>
      <c r="I145" s="11" t="s">
        <v>203</v>
      </c>
      <c r="J145" s="15">
        <v>2.0155721135746499E-2</v>
      </c>
      <c r="K145" t="s">
        <v>14</v>
      </c>
      <c r="L145" t="s">
        <v>21</v>
      </c>
      <c r="M145">
        <f t="shared" si="5"/>
        <v>191385</v>
      </c>
    </row>
    <row r="146" spans="1:13">
      <c r="A146" s="11" t="s">
        <v>244</v>
      </c>
      <c r="B146" s="12">
        <v>303752</v>
      </c>
      <c r="C146" t="str">
        <f t="shared" si="4"/>
        <v>C</v>
      </c>
      <c r="I146" s="11" t="s">
        <v>246</v>
      </c>
      <c r="J146" s="15">
        <v>9.9595047771000103E-2</v>
      </c>
      <c r="K146" t="s">
        <v>14</v>
      </c>
      <c r="L146" t="s">
        <v>21</v>
      </c>
      <c r="M146">
        <f t="shared" si="5"/>
        <v>167844</v>
      </c>
    </row>
    <row r="147" spans="1:13">
      <c r="A147" s="11" t="s">
        <v>78</v>
      </c>
      <c r="B147" s="12">
        <v>641873</v>
      </c>
      <c r="C147" t="str">
        <f t="shared" si="4"/>
        <v>C</v>
      </c>
      <c r="I147" s="11" t="s">
        <v>245</v>
      </c>
      <c r="J147" s="15">
        <v>2.187006738826339E-2</v>
      </c>
      <c r="K147" t="s">
        <v>14</v>
      </c>
      <c r="L147" t="s">
        <v>21</v>
      </c>
      <c r="M147">
        <f t="shared" si="5"/>
        <v>147393</v>
      </c>
    </row>
    <row r="148" spans="1:13">
      <c r="A148" s="11" t="s">
        <v>237</v>
      </c>
      <c r="B148" s="12">
        <v>98585</v>
      </c>
      <c r="C148" t="str">
        <f t="shared" si="4"/>
        <v>C</v>
      </c>
      <c r="I148" s="11" t="s">
        <v>52</v>
      </c>
      <c r="J148" s="15">
        <v>3.519447390593268E-2</v>
      </c>
      <c r="K148" t="s">
        <v>14</v>
      </c>
      <c r="L148" t="s">
        <v>21</v>
      </c>
      <c r="M148">
        <f t="shared" si="5"/>
        <v>177159</v>
      </c>
    </row>
    <row r="149" spans="1:13">
      <c r="A149" s="11" t="s">
        <v>243</v>
      </c>
      <c r="B149" s="12">
        <v>801306</v>
      </c>
      <c r="C149" t="str">
        <f t="shared" si="4"/>
        <v>C</v>
      </c>
      <c r="I149" s="11" t="s">
        <v>77</v>
      </c>
      <c r="J149" s="15">
        <v>1.1274456866522531E-2</v>
      </c>
      <c r="K149" t="s">
        <v>14</v>
      </c>
      <c r="L149" t="s">
        <v>21</v>
      </c>
      <c r="M149">
        <f t="shared" si="5"/>
        <v>220179</v>
      </c>
    </row>
    <row r="150" spans="1:13">
      <c r="A150" s="11" t="s">
        <v>267</v>
      </c>
      <c r="B150" s="12">
        <v>209650</v>
      </c>
      <c r="C150" t="str">
        <f t="shared" si="4"/>
        <v>C</v>
      </c>
      <c r="I150" s="11" t="s">
        <v>170</v>
      </c>
      <c r="J150" s="15">
        <v>2.5259076761082112E-2</v>
      </c>
      <c r="K150" t="s">
        <v>14</v>
      </c>
      <c r="L150" t="s">
        <v>21</v>
      </c>
      <c r="M150">
        <f t="shared" si="5"/>
        <v>175937</v>
      </c>
    </row>
    <row r="151" spans="1:13">
      <c r="A151" s="11" t="s">
        <v>92</v>
      </c>
      <c r="B151" s="12">
        <v>607306</v>
      </c>
      <c r="C151" t="str">
        <f t="shared" si="4"/>
        <v>C</v>
      </c>
      <c r="I151" s="11" t="s">
        <v>56</v>
      </c>
      <c r="J151" s="15">
        <v>2.4037109654990597E-2</v>
      </c>
      <c r="K151" t="s">
        <v>14</v>
      </c>
      <c r="L151" t="s">
        <v>21</v>
      </c>
      <c r="M151">
        <f t="shared" si="5"/>
        <v>127287</v>
      </c>
    </row>
    <row r="152" spans="1:13">
      <c r="A152" s="11" t="s">
        <v>139</v>
      </c>
      <c r="B152" s="12">
        <v>781944</v>
      </c>
      <c r="C152" t="str">
        <f t="shared" si="4"/>
        <v>C</v>
      </c>
      <c r="I152" s="11" t="s">
        <v>157</v>
      </c>
      <c r="J152" s="15">
        <v>2.3951428077845498E-2</v>
      </c>
      <c r="K152" t="s">
        <v>14</v>
      </c>
      <c r="L152" t="s">
        <v>21</v>
      </c>
      <c r="M152">
        <f t="shared" si="5"/>
        <v>127361</v>
      </c>
    </row>
    <row r="153" spans="1:13">
      <c r="A153" s="11" t="s">
        <v>254</v>
      </c>
      <c r="B153" s="12">
        <v>121539</v>
      </c>
      <c r="C153" t="str">
        <f t="shared" si="4"/>
        <v>C</v>
      </c>
      <c r="I153" s="11" t="s">
        <v>232</v>
      </c>
      <c r="J153" s="15">
        <v>2.5175445228029898E-2</v>
      </c>
      <c r="K153" t="s">
        <v>14</v>
      </c>
      <c r="L153" t="s">
        <v>21</v>
      </c>
      <c r="M153">
        <f t="shared" si="5"/>
        <v>145321</v>
      </c>
    </row>
    <row r="154" spans="1:13">
      <c r="A154" s="11" t="s">
        <v>99</v>
      </c>
      <c r="B154" s="12">
        <v>125189</v>
      </c>
      <c r="C154" t="str">
        <f t="shared" si="4"/>
        <v>C</v>
      </c>
      <c r="I154" s="11" t="s">
        <v>247</v>
      </c>
      <c r="J154" s="15">
        <v>2.5547607612669339E-2</v>
      </c>
      <c r="K154" t="s">
        <v>14</v>
      </c>
      <c r="L154" t="s">
        <v>21</v>
      </c>
      <c r="M154">
        <f t="shared" si="5"/>
        <v>208866</v>
      </c>
    </row>
    <row r="155" spans="1:13">
      <c r="A155" s="11" t="s">
        <v>191</v>
      </c>
      <c r="B155" s="12">
        <v>720678</v>
      </c>
      <c r="C155" t="str">
        <f t="shared" si="4"/>
        <v>C</v>
      </c>
      <c r="I155" s="11" t="s">
        <v>83</v>
      </c>
      <c r="J155" s="15">
        <v>2.139017874378376E-2</v>
      </c>
      <c r="K155" t="s">
        <v>14</v>
      </c>
      <c r="L155" t="s">
        <v>21</v>
      </c>
      <c r="M155">
        <f t="shared" si="5"/>
        <v>149509</v>
      </c>
    </row>
    <row r="156" spans="1:13">
      <c r="A156" s="11" t="s">
        <v>76</v>
      </c>
      <c r="B156" s="12">
        <v>220559</v>
      </c>
      <c r="C156" t="str">
        <f t="shared" si="4"/>
        <v>C</v>
      </c>
      <c r="I156" s="11" t="s">
        <v>66</v>
      </c>
      <c r="J156" s="15">
        <v>3.1118992274904996E-2</v>
      </c>
      <c r="K156" t="s">
        <v>14</v>
      </c>
      <c r="L156" t="s">
        <v>21</v>
      </c>
      <c r="M156">
        <f t="shared" si="5"/>
        <v>147232</v>
      </c>
    </row>
    <row r="157" spans="1:13">
      <c r="A157" s="11" t="s">
        <v>109</v>
      </c>
      <c r="B157" s="12">
        <v>137424</v>
      </c>
      <c r="C157" t="str">
        <f t="shared" si="4"/>
        <v>C</v>
      </c>
      <c r="I157" s="11" t="s">
        <v>239</v>
      </c>
      <c r="J157" s="15">
        <v>0.23400032375277899</v>
      </c>
      <c r="K157" t="s">
        <v>14</v>
      </c>
      <c r="L157" t="s">
        <v>20</v>
      </c>
      <c r="M157">
        <f t="shared" si="5"/>
        <v>158166</v>
      </c>
    </row>
    <row r="158" spans="1:13">
      <c r="A158" s="11" t="s">
        <v>203</v>
      </c>
      <c r="B158" s="12">
        <v>191385</v>
      </c>
      <c r="C158" t="str">
        <f t="shared" si="4"/>
        <v>C</v>
      </c>
      <c r="I158" s="11" t="s">
        <v>122</v>
      </c>
      <c r="J158" s="15">
        <v>0.17192787319233879</v>
      </c>
      <c r="K158" t="s">
        <v>14</v>
      </c>
      <c r="L158" t="s">
        <v>20</v>
      </c>
      <c r="M158">
        <f t="shared" si="5"/>
        <v>183333</v>
      </c>
    </row>
    <row r="159" spans="1:13">
      <c r="A159" s="11" t="s">
        <v>167</v>
      </c>
      <c r="B159" s="12">
        <v>973547</v>
      </c>
      <c r="C159" t="str">
        <f t="shared" si="4"/>
        <v>C</v>
      </c>
      <c r="I159" s="11" t="s">
        <v>171</v>
      </c>
      <c r="J159" s="15">
        <v>0.14793982156137603</v>
      </c>
      <c r="K159" t="s">
        <v>14</v>
      </c>
      <c r="L159" t="s">
        <v>20</v>
      </c>
      <c r="M159">
        <f t="shared" si="5"/>
        <v>203877</v>
      </c>
    </row>
    <row r="160" spans="1:13">
      <c r="A160" s="11" t="s">
        <v>51</v>
      </c>
      <c r="B160" s="12">
        <v>663270</v>
      </c>
      <c r="C160" t="str">
        <f t="shared" si="4"/>
        <v>C</v>
      </c>
      <c r="I160" s="11" t="s">
        <v>235</v>
      </c>
      <c r="J160" s="15">
        <v>0.18400880927207797</v>
      </c>
      <c r="K160" t="s">
        <v>14</v>
      </c>
      <c r="L160" t="s">
        <v>20</v>
      </c>
      <c r="M160">
        <f t="shared" si="5"/>
        <v>192967</v>
      </c>
    </row>
    <row r="161" spans="1:13">
      <c r="A161" s="11" t="s">
        <v>134</v>
      </c>
      <c r="B161" s="12">
        <v>113196</v>
      </c>
      <c r="C161" t="str">
        <f t="shared" si="4"/>
        <v>C</v>
      </c>
      <c r="I161" s="11" t="s">
        <v>186</v>
      </c>
      <c r="J161" s="15">
        <v>0.1926330515114216</v>
      </c>
      <c r="K161" t="s">
        <v>14</v>
      </c>
      <c r="L161" t="s">
        <v>20</v>
      </c>
      <c r="M161">
        <f t="shared" si="5"/>
        <v>153518</v>
      </c>
    </row>
    <row r="162" spans="1:13">
      <c r="A162" s="11" t="s">
        <v>258</v>
      </c>
      <c r="B162" s="12">
        <v>488649</v>
      </c>
      <c r="C162" t="str">
        <f t="shared" si="4"/>
        <v>C</v>
      </c>
      <c r="I162" s="11" t="s">
        <v>256</v>
      </c>
      <c r="J162" s="15">
        <v>0.24088435460598245</v>
      </c>
      <c r="K162" t="s">
        <v>14</v>
      </c>
      <c r="L162" t="s">
        <v>20</v>
      </c>
      <c r="M162">
        <f t="shared" si="5"/>
        <v>180278</v>
      </c>
    </row>
    <row r="163" spans="1:13">
      <c r="A163" s="11" t="s">
        <v>90</v>
      </c>
      <c r="B163" s="12">
        <v>206916</v>
      </c>
      <c r="C163" t="str">
        <f t="shared" si="4"/>
        <v>C</v>
      </c>
      <c r="I163" s="11" t="s">
        <v>112</v>
      </c>
      <c r="J163" s="15">
        <v>0.17321865915912296</v>
      </c>
      <c r="K163" t="s">
        <v>14</v>
      </c>
      <c r="L163" t="s">
        <v>20</v>
      </c>
      <c r="M163">
        <f t="shared" si="5"/>
        <v>161695</v>
      </c>
    </row>
    <row r="164" spans="1:13">
      <c r="A164" s="11" t="s">
        <v>236</v>
      </c>
      <c r="B164" s="12">
        <v>193387</v>
      </c>
      <c r="C164" t="str">
        <f t="shared" si="4"/>
        <v>C</v>
      </c>
      <c r="I164" s="11" t="s">
        <v>179</v>
      </c>
      <c r="J164" s="15">
        <v>0.1217472814704476</v>
      </c>
      <c r="K164" t="s">
        <v>14</v>
      </c>
      <c r="L164" t="s">
        <v>20</v>
      </c>
      <c r="M164">
        <f t="shared" si="5"/>
        <v>139825</v>
      </c>
    </row>
    <row r="165" spans="1:13">
      <c r="A165" s="11" t="s">
        <v>281</v>
      </c>
      <c r="B165" s="12">
        <v>136132</v>
      </c>
      <c r="C165" t="str">
        <f t="shared" si="4"/>
        <v>C</v>
      </c>
      <c r="I165" s="11" t="s">
        <v>175</v>
      </c>
      <c r="J165" s="15">
        <v>0.1389882548863903</v>
      </c>
      <c r="K165" t="s">
        <v>14</v>
      </c>
      <c r="L165" t="s">
        <v>20</v>
      </c>
      <c r="M165">
        <f t="shared" si="5"/>
        <v>140120</v>
      </c>
    </row>
    <row r="166" spans="1:13">
      <c r="A166" s="11" t="s">
        <v>278</v>
      </c>
      <c r="B166" s="12">
        <v>174401</v>
      </c>
      <c r="C166" t="str">
        <f t="shared" si="4"/>
        <v>C</v>
      </c>
      <c r="I166" s="11" t="s">
        <v>120</v>
      </c>
      <c r="J166" s="15">
        <v>0.15825874916763014</v>
      </c>
      <c r="K166" t="s">
        <v>14</v>
      </c>
      <c r="L166" t="s">
        <v>20</v>
      </c>
      <c r="M166">
        <f t="shared" si="5"/>
        <v>137905</v>
      </c>
    </row>
    <row r="167" spans="1:13">
      <c r="A167" s="11" t="s">
        <v>168</v>
      </c>
      <c r="B167" s="12">
        <v>1243018</v>
      </c>
      <c r="C167" t="str">
        <f t="shared" si="4"/>
        <v>C</v>
      </c>
      <c r="I167" s="11" t="s">
        <v>211</v>
      </c>
      <c r="J167" s="15">
        <v>0.17313246729237608</v>
      </c>
      <c r="K167" t="s">
        <v>14</v>
      </c>
      <c r="L167" t="s">
        <v>20</v>
      </c>
      <c r="M167">
        <f t="shared" si="5"/>
        <v>144843</v>
      </c>
    </row>
    <row r="168" spans="1:13">
      <c r="A168" s="11" t="s">
        <v>246</v>
      </c>
      <c r="B168" s="12">
        <v>167844</v>
      </c>
      <c r="C168" t="str">
        <f t="shared" si="4"/>
        <v>C</v>
      </c>
      <c r="I168" s="11" t="s">
        <v>164</v>
      </c>
      <c r="J168" s="15">
        <v>0.17819395537729732</v>
      </c>
      <c r="K168" t="s">
        <v>14</v>
      </c>
      <c r="L168" t="s">
        <v>20</v>
      </c>
      <c r="M168">
        <f t="shared" si="5"/>
        <v>191817</v>
      </c>
    </row>
    <row r="169" spans="1:13">
      <c r="A169" s="11" t="s">
        <v>86</v>
      </c>
      <c r="B169" s="12">
        <v>168027</v>
      </c>
      <c r="C169" t="str">
        <f t="shared" si="4"/>
        <v>C</v>
      </c>
      <c r="I169" s="11" t="s">
        <v>281</v>
      </c>
      <c r="J169" s="15">
        <v>0.18649556908105519</v>
      </c>
      <c r="K169" t="s">
        <v>14</v>
      </c>
      <c r="L169" t="s">
        <v>20</v>
      </c>
      <c r="M169">
        <f t="shared" si="5"/>
        <v>136132</v>
      </c>
    </row>
    <row r="170" spans="1:13">
      <c r="A170" s="11" t="s">
        <v>131</v>
      </c>
      <c r="B170" s="12">
        <v>454167</v>
      </c>
      <c r="C170" t="str">
        <f t="shared" si="4"/>
        <v>C</v>
      </c>
      <c r="I170" s="11" t="s">
        <v>86</v>
      </c>
      <c r="J170" s="15">
        <v>0.11984991297723951</v>
      </c>
      <c r="K170" t="s">
        <v>14</v>
      </c>
      <c r="L170" t="s">
        <v>20</v>
      </c>
      <c r="M170">
        <f t="shared" si="5"/>
        <v>168027</v>
      </c>
    </row>
    <row r="171" spans="1:13">
      <c r="A171" s="11" t="s">
        <v>245</v>
      </c>
      <c r="B171" s="12">
        <v>147393</v>
      </c>
      <c r="C171" t="str">
        <f t="shared" si="4"/>
        <v>C</v>
      </c>
      <c r="I171" s="11" t="s">
        <v>49</v>
      </c>
      <c r="J171" s="15">
        <v>0.13899280719268112</v>
      </c>
      <c r="K171" t="s">
        <v>14</v>
      </c>
      <c r="L171" t="s">
        <v>20</v>
      </c>
      <c r="M171">
        <f t="shared" si="5"/>
        <v>166403</v>
      </c>
    </row>
    <row r="172" spans="1:13">
      <c r="A172" s="11" t="s">
        <v>52</v>
      </c>
      <c r="B172" s="12">
        <v>177159</v>
      </c>
      <c r="C172" t="str">
        <f t="shared" si="4"/>
        <v>C</v>
      </c>
      <c r="I172" s="11" t="s">
        <v>268</v>
      </c>
      <c r="J172" s="15">
        <v>0.19582231310707521</v>
      </c>
      <c r="K172" t="s">
        <v>14</v>
      </c>
      <c r="L172" t="s">
        <v>20</v>
      </c>
      <c r="M172">
        <f t="shared" si="5"/>
        <v>220054</v>
      </c>
    </row>
    <row r="173" spans="1:13">
      <c r="A173" s="11" t="s">
        <v>183</v>
      </c>
      <c r="B173" s="12">
        <v>758515</v>
      </c>
      <c r="C173" t="str">
        <f t="shared" si="4"/>
        <v>C</v>
      </c>
      <c r="I173" s="11" t="s">
        <v>251</v>
      </c>
      <c r="J173" s="15">
        <v>0.18530031488659426</v>
      </c>
      <c r="K173" t="s">
        <v>14</v>
      </c>
      <c r="L173" t="s">
        <v>20</v>
      </c>
      <c r="M173">
        <f t="shared" si="5"/>
        <v>141576</v>
      </c>
    </row>
    <row r="174" spans="1:13">
      <c r="A174" s="11" t="s">
        <v>230</v>
      </c>
      <c r="B174" s="12">
        <v>450585</v>
      </c>
      <c r="C174" t="str">
        <f t="shared" si="4"/>
        <v>C</v>
      </c>
      <c r="I174" s="11" t="s">
        <v>177</v>
      </c>
      <c r="J174" s="15">
        <v>0.16771110755598245</v>
      </c>
      <c r="K174" t="s">
        <v>14</v>
      </c>
      <c r="L174" t="s">
        <v>20</v>
      </c>
      <c r="M174">
        <f t="shared" si="5"/>
        <v>197776</v>
      </c>
    </row>
    <row r="175" spans="1:13">
      <c r="A175" s="11" t="s">
        <v>102</v>
      </c>
      <c r="B175" s="12">
        <v>606225</v>
      </c>
      <c r="C175" t="str">
        <f t="shared" si="4"/>
        <v>C</v>
      </c>
      <c r="I175" s="26" t="s">
        <v>153</v>
      </c>
      <c r="J175" s="18">
        <v>0.42076645135755802</v>
      </c>
      <c r="K175" t="s">
        <v>14</v>
      </c>
      <c r="L175" s="28" t="s">
        <v>19</v>
      </c>
      <c r="M175">
        <f t="shared" si="5"/>
        <v>153779</v>
      </c>
    </row>
    <row r="176" spans="1:13">
      <c r="A176" s="11" t="s">
        <v>49</v>
      </c>
      <c r="B176" s="12">
        <v>166403</v>
      </c>
      <c r="C176" t="str">
        <f t="shared" si="4"/>
        <v>C</v>
      </c>
      <c r="I176" s="11" t="s">
        <v>271</v>
      </c>
      <c r="J176" s="15">
        <v>0.76350623486106495</v>
      </c>
      <c r="K176" t="s">
        <v>14</v>
      </c>
      <c r="L176" t="s">
        <v>19</v>
      </c>
      <c r="M176">
        <f t="shared" si="5"/>
        <v>225867</v>
      </c>
    </row>
    <row r="177" spans="1:13">
      <c r="A177" s="11" t="s">
        <v>77</v>
      </c>
      <c r="B177" s="12">
        <v>220179</v>
      </c>
      <c r="C177" t="str">
        <f t="shared" si="4"/>
        <v>C</v>
      </c>
      <c r="I177" s="11" t="s">
        <v>189</v>
      </c>
      <c r="J177" s="15">
        <v>0.61707381939593353</v>
      </c>
      <c r="K177" t="s">
        <v>14</v>
      </c>
      <c r="L177" t="s">
        <v>19</v>
      </c>
      <c r="M177">
        <f t="shared" si="5"/>
        <v>222487</v>
      </c>
    </row>
    <row r="178" spans="1:13">
      <c r="A178" s="11" t="s">
        <v>170</v>
      </c>
      <c r="B178" s="12">
        <v>175937</v>
      </c>
      <c r="C178" t="str">
        <f t="shared" si="4"/>
        <v>C</v>
      </c>
      <c r="I178" s="11" t="s">
        <v>107</v>
      </c>
      <c r="J178" s="15">
        <v>0.63085567880350113</v>
      </c>
      <c r="K178" t="s">
        <v>14</v>
      </c>
      <c r="L178" t="s">
        <v>19</v>
      </c>
      <c r="M178">
        <f t="shared" si="5"/>
        <v>127158</v>
      </c>
    </row>
    <row r="179" spans="1:13">
      <c r="A179" s="11" t="s">
        <v>210</v>
      </c>
      <c r="B179" s="12">
        <v>105608</v>
      </c>
      <c r="C179" t="str">
        <f t="shared" si="4"/>
        <v>C</v>
      </c>
      <c r="I179" s="11" t="s">
        <v>47</v>
      </c>
      <c r="J179" s="15">
        <v>0.74322938536397665</v>
      </c>
      <c r="K179" t="s">
        <v>14</v>
      </c>
      <c r="L179" t="s">
        <v>19</v>
      </c>
      <c r="M179">
        <f t="shared" si="5"/>
        <v>157412</v>
      </c>
    </row>
    <row r="180" spans="1:13">
      <c r="A180" s="11" t="s">
        <v>159</v>
      </c>
      <c r="B180" s="12">
        <v>685983</v>
      </c>
      <c r="C180" t="str">
        <f t="shared" si="4"/>
        <v>C</v>
      </c>
      <c r="I180" s="11" t="s">
        <v>98</v>
      </c>
      <c r="J180" s="15">
        <v>0.59960494301718703</v>
      </c>
      <c r="K180" t="s">
        <v>14</v>
      </c>
      <c r="L180" t="s">
        <v>19</v>
      </c>
      <c r="M180">
        <f t="shared" si="5"/>
        <v>159693</v>
      </c>
    </row>
    <row r="181" spans="1:13">
      <c r="A181" s="11" t="s">
        <v>213</v>
      </c>
      <c r="B181" s="12">
        <v>320596</v>
      </c>
      <c r="C181" t="str">
        <f t="shared" si="4"/>
        <v>C</v>
      </c>
      <c r="I181" s="11" t="s">
        <v>262</v>
      </c>
      <c r="J181" s="15">
        <v>0.71103709455694841</v>
      </c>
      <c r="K181" t="s">
        <v>14</v>
      </c>
      <c r="L181" t="s">
        <v>19</v>
      </c>
      <c r="M181">
        <f t="shared" si="5"/>
        <v>154691</v>
      </c>
    </row>
    <row r="182" spans="1:13">
      <c r="A182" s="11" t="s">
        <v>185</v>
      </c>
      <c r="B182" s="12">
        <v>284788</v>
      </c>
      <c r="C182" t="str">
        <f t="shared" si="4"/>
        <v>C</v>
      </c>
      <c r="I182" s="11" t="s">
        <v>216</v>
      </c>
      <c r="J182" s="15">
        <v>0.41734241791496413</v>
      </c>
      <c r="K182" t="s">
        <v>14</v>
      </c>
      <c r="L182" t="s">
        <v>19</v>
      </c>
      <c r="M182">
        <f t="shared" si="5"/>
        <v>211031</v>
      </c>
    </row>
    <row r="183" spans="1:13">
      <c r="A183" s="11" t="s">
        <v>268</v>
      </c>
      <c r="B183" s="12">
        <v>220054</v>
      </c>
      <c r="C183" t="str">
        <f t="shared" si="4"/>
        <v>C</v>
      </c>
      <c r="I183" s="11" t="s">
        <v>255</v>
      </c>
      <c r="J183" s="15">
        <v>0.49371590696507733</v>
      </c>
      <c r="K183" t="s">
        <v>14</v>
      </c>
      <c r="L183" t="s">
        <v>19</v>
      </c>
      <c r="M183">
        <f t="shared" si="5"/>
        <v>163841</v>
      </c>
    </row>
    <row r="184" spans="1:13">
      <c r="A184" s="11" t="s">
        <v>200</v>
      </c>
      <c r="B184" s="12">
        <v>202575</v>
      </c>
      <c r="C184" t="str">
        <f t="shared" si="4"/>
        <v>C</v>
      </c>
      <c r="I184" s="11" t="s">
        <v>73</v>
      </c>
      <c r="J184" s="15">
        <v>0.69667224416910722</v>
      </c>
      <c r="K184" t="s">
        <v>14</v>
      </c>
      <c r="L184" t="s">
        <v>19</v>
      </c>
      <c r="M184">
        <f t="shared" si="5"/>
        <v>184977</v>
      </c>
    </row>
    <row r="185" spans="1:13">
      <c r="A185" s="11" t="s">
        <v>56</v>
      </c>
      <c r="B185" s="12">
        <v>127287</v>
      </c>
      <c r="C185" t="str">
        <f t="shared" si="4"/>
        <v>C</v>
      </c>
      <c r="I185" s="11" t="s">
        <v>163</v>
      </c>
      <c r="J185" s="15">
        <v>0.66426141686756257</v>
      </c>
      <c r="K185" t="s">
        <v>14</v>
      </c>
      <c r="L185" t="s">
        <v>19</v>
      </c>
      <c r="M185">
        <f t="shared" si="5"/>
        <v>151168</v>
      </c>
    </row>
    <row r="186" spans="1:13">
      <c r="A186" s="11" t="s">
        <v>119</v>
      </c>
      <c r="B186" s="12">
        <v>333252</v>
      </c>
      <c r="C186" t="str">
        <f t="shared" si="4"/>
        <v>C</v>
      </c>
      <c r="I186" s="11" t="s">
        <v>169</v>
      </c>
      <c r="J186" s="15">
        <v>0.56784915358880061</v>
      </c>
      <c r="K186" t="s">
        <v>14</v>
      </c>
      <c r="L186" t="s">
        <v>19</v>
      </c>
      <c r="M186">
        <f t="shared" si="5"/>
        <v>176247</v>
      </c>
    </row>
    <row r="187" spans="1:13">
      <c r="A187" s="11" t="s">
        <v>157</v>
      </c>
      <c r="B187" s="12">
        <v>127361</v>
      </c>
      <c r="C187" t="str">
        <f t="shared" si="4"/>
        <v>C</v>
      </c>
      <c r="I187" s="11" t="s">
        <v>215</v>
      </c>
      <c r="J187" s="15">
        <v>0.55658063952635051</v>
      </c>
      <c r="K187" t="s">
        <v>14</v>
      </c>
      <c r="L187" t="s">
        <v>19</v>
      </c>
      <c r="M187">
        <f t="shared" si="5"/>
        <v>143859</v>
      </c>
    </row>
    <row r="188" spans="1:13">
      <c r="A188" s="11" t="s">
        <v>74</v>
      </c>
      <c r="B188" s="12">
        <v>209488</v>
      </c>
      <c r="C188" t="str">
        <f t="shared" si="4"/>
        <v>C</v>
      </c>
      <c r="I188" s="11" t="s">
        <v>109</v>
      </c>
      <c r="J188" s="15">
        <v>0.59765751922550392</v>
      </c>
      <c r="K188" t="s">
        <v>14</v>
      </c>
      <c r="L188" t="s">
        <v>19</v>
      </c>
      <c r="M188">
        <f t="shared" si="5"/>
        <v>137424</v>
      </c>
    </row>
    <row r="189" spans="1:13">
      <c r="A189" s="11" t="s">
        <v>48</v>
      </c>
      <c r="B189" s="12">
        <v>586866</v>
      </c>
      <c r="C189" t="str">
        <f t="shared" si="4"/>
        <v>C</v>
      </c>
      <c r="I189" s="11" t="s">
        <v>90</v>
      </c>
      <c r="J189" s="15">
        <v>0.87028974649016821</v>
      </c>
      <c r="K189" t="s">
        <v>14</v>
      </c>
      <c r="L189" t="s">
        <v>19</v>
      </c>
      <c r="M189">
        <f t="shared" si="5"/>
        <v>206916</v>
      </c>
    </row>
    <row r="190" spans="1:13">
      <c r="A190" s="11" t="s">
        <v>232</v>
      </c>
      <c r="B190" s="12">
        <v>145321</v>
      </c>
      <c r="C190" t="str">
        <f t="shared" si="4"/>
        <v>C</v>
      </c>
      <c r="I190" s="11" t="s">
        <v>236</v>
      </c>
      <c r="J190" s="15">
        <v>0.84602898288270667</v>
      </c>
      <c r="K190" t="s">
        <v>14</v>
      </c>
      <c r="L190" t="s">
        <v>19</v>
      </c>
      <c r="M190">
        <f t="shared" si="5"/>
        <v>193387</v>
      </c>
    </row>
    <row r="191" spans="1:13">
      <c r="A191" s="11" t="s">
        <v>188</v>
      </c>
      <c r="B191" s="12">
        <v>787489</v>
      </c>
      <c r="C191" t="str">
        <f t="shared" si="4"/>
        <v>C</v>
      </c>
      <c r="I191" s="11" t="s">
        <v>278</v>
      </c>
      <c r="J191" s="15">
        <v>0.43957634137492746</v>
      </c>
      <c r="K191" t="s">
        <v>14</v>
      </c>
      <c r="L191" t="s">
        <v>19</v>
      </c>
      <c r="M191">
        <f t="shared" si="5"/>
        <v>174401</v>
      </c>
    </row>
    <row r="192" spans="1:13">
      <c r="A192" s="11" t="s">
        <v>118</v>
      </c>
      <c r="B192" s="12">
        <v>801823</v>
      </c>
      <c r="C192" t="str">
        <f t="shared" si="4"/>
        <v>C</v>
      </c>
      <c r="I192" s="11" t="s">
        <v>200</v>
      </c>
      <c r="J192" s="15">
        <v>0.63958568820136119</v>
      </c>
      <c r="K192" t="s">
        <v>14</v>
      </c>
      <c r="L192" t="s">
        <v>19</v>
      </c>
      <c r="M192">
        <f t="shared" si="5"/>
        <v>202575</v>
      </c>
    </row>
    <row r="193" spans="1:13">
      <c r="A193" s="11" t="s">
        <v>140</v>
      </c>
      <c r="B193" s="12">
        <v>490329</v>
      </c>
      <c r="C193" t="str">
        <f t="shared" si="4"/>
        <v>C</v>
      </c>
      <c r="I193" s="11" t="s">
        <v>74</v>
      </c>
      <c r="J193" s="15">
        <v>0.59736912143383858</v>
      </c>
      <c r="K193" t="s">
        <v>14</v>
      </c>
      <c r="L193" t="s">
        <v>19</v>
      </c>
      <c r="M193">
        <f t="shared" si="5"/>
        <v>209488</v>
      </c>
    </row>
    <row r="194" spans="1:13">
      <c r="A194" s="11" t="s">
        <v>265</v>
      </c>
      <c r="B194" s="12">
        <v>122852</v>
      </c>
      <c r="C194" t="str">
        <f t="shared" si="4"/>
        <v>C</v>
      </c>
      <c r="I194" s="11" t="s">
        <v>142</v>
      </c>
      <c r="J194" s="15">
        <v>0.50386871114593579</v>
      </c>
      <c r="K194" t="s">
        <v>14</v>
      </c>
      <c r="L194" t="s">
        <v>19</v>
      </c>
      <c r="M194">
        <f t="shared" si="5"/>
        <v>149633</v>
      </c>
    </row>
    <row r="195" spans="1:13">
      <c r="A195" s="11" t="s">
        <v>260</v>
      </c>
      <c r="B195" s="12">
        <v>310857</v>
      </c>
      <c r="C195" t="str">
        <f t="shared" ref="C195:C238" si="6">VLOOKUP(B195,$O$7:$P$9,2,1)</f>
        <v>C</v>
      </c>
      <c r="I195" s="11" t="s">
        <v>223</v>
      </c>
      <c r="J195" s="15">
        <v>0.56945211062954437</v>
      </c>
      <c r="K195" t="s">
        <v>14</v>
      </c>
      <c r="L195" t="s">
        <v>19</v>
      </c>
      <c r="M195">
        <f t="shared" ref="M195:M238" si="7">VLOOKUP(I195,$A:$B,2,0)</f>
        <v>128087</v>
      </c>
    </row>
    <row r="196" spans="1:13">
      <c r="A196" s="11" t="s">
        <v>247</v>
      </c>
      <c r="B196" s="12">
        <v>208866</v>
      </c>
      <c r="C196" t="str">
        <f t="shared" si="6"/>
        <v>C</v>
      </c>
      <c r="I196" s="11" t="s">
        <v>252</v>
      </c>
      <c r="J196" s="15">
        <v>0.58774069589344158</v>
      </c>
      <c r="K196" t="s">
        <v>14</v>
      </c>
      <c r="L196" t="s">
        <v>19</v>
      </c>
      <c r="M196">
        <f t="shared" si="7"/>
        <v>158620</v>
      </c>
    </row>
    <row r="197" spans="1:13">
      <c r="A197" s="11" t="s">
        <v>142</v>
      </c>
      <c r="B197" s="12">
        <v>149633</v>
      </c>
      <c r="C197" t="str">
        <f t="shared" si="6"/>
        <v>C</v>
      </c>
      <c r="I197" s="11" t="s">
        <v>266</v>
      </c>
      <c r="J197" s="15">
        <v>0.70995368757730071</v>
      </c>
      <c r="K197" t="s">
        <v>14</v>
      </c>
      <c r="L197" t="s">
        <v>19</v>
      </c>
      <c r="M197">
        <f t="shared" si="7"/>
        <v>177251</v>
      </c>
    </row>
    <row r="198" spans="1:13">
      <c r="A198" s="11" t="s">
        <v>233</v>
      </c>
      <c r="B198" s="12">
        <v>106272</v>
      </c>
      <c r="C198" t="str">
        <f t="shared" si="6"/>
        <v>C</v>
      </c>
      <c r="I198" s="11" t="s">
        <v>127</v>
      </c>
      <c r="J198" s="15">
        <v>0.50727422012003676</v>
      </c>
      <c r="K198" t="s">
        <v>14</v>
      </c>
      <c r="L198" t="s">
        <v>19</v>
      </c>
      <c r="M198">
        <f t="shared" si="7"/>
        <v>215586</v>
      </c>
    </row>
    <row r="199" spans="1:13">
      <c r="A199" s="11" t="s">
        <v>150</v>
      </c>
      <c r="B199" s="12">
        <v>429790</v>
      </c>
      <c r="C199" t="str">
        <f t="shared" si="6"/>
        <v>C</v>
      </c>
      <c r="I199" s="11" t="s">
        <v>272</v>
      </c>
      <c r="J199" s="15">
        <v>0.5022348883955341</v>
      </c>
      <c r="K199" t="s">
        <v>14</v>
      </c>
      <c r="L199" t="s">
        <v>19</v>
      </c>
      <c r="M199">
        <f t="shared" si="7"/>
        <v>146192</v>
      </c>
    </row>
    <row r="200" spans="1:13">
      <c r="A200" s="11" t="s">
        <v>85</v>
      </c>
      <c r="B200" s="12">
        <v>272381</v>
      </c>
      <c r="C200" t="str">
        <f t="shared" si="6"/>
        <v>C</v>
      </c>
      <c r="I200" s="11" t="s">
        <v>87</v>
      </c>
      <c r="J200" s="15">
        <v>2.3423352433735958E-2</v>
      </c>
      <c r="K200" t="s">
        <v>15</v>
      </c>
      <c r="L200" t="s">
        <v>21</v>
      </c>
      <c r="M200">
        <f t="shared" si="7"/>
        <v>112916</v>
      </c>
    </row>
    <row r="201" spans="1:13">
      <c r="A201" s="11" t="s">
        <v>79</v>
      </c>
      <c r="B201" s="12">
        <v>396477</v>
      </c>
      <c r="C201" t="str">
        <f t="shared" si="6"/>
        <v>C</v>
      </c>
      <c r="I201" s="11" t="s">
        <v>270</v>
      </c>
      <c r="J201" s="15">
        <v>2.4089312830353593E-2</v>
      </c>
      <c r="K201" t="s">
        <v>15</v>
      </c>
      <c r="L201" t="s">
        <v>21</v>
      </c>
      <c r="M201">
        <f t="shared" si="7"/>
        <v>125944</v>
      </c>
    </row>
    <row r="202" spans="1:13">
      <c r="A202" s="11" t="s">
        <v>224</v>
      </c>
      <c r="B202" s="12">
        <v>118452</v>
      </c>
      <c r="C202" t="str">
        <f t="shared" si="6"/>
        <v>C</v>
      </c>
      <c r="I202" s="11" t="s">
        <v>240</v>
      </c>
      <c r="J202" s="15">
        <v>2.3283774115273131E-2</v>
      </c>
      <c r="K202" t="s">
        <v>15</v>
      </c>
      <c r="L202" t="s">
        <v>21</v>
      </c>
      <c r="M202">
        <f t="shared" si="7"/>
        <v>118668</v>
      </c>
    </row>
    <row r="203" spans="1:13">
      <c r="A203" s="11" t="s">
        <v>231</v>
      </c>
      <c r="B203" s="12">
        <v>283501</v>
      </c>
      <c r="C203" t="str">
        <f t="shared" si="6"/>
        <v>C</v>
      </c>
      <c r="I203" s="11" t="s">
        <v>68</v>
      </c>
      <c r="J203" s="15">
        <v>2.5376688549221579E-2</v>
      </c>
      <c r="K203" t="s">
        <v>15</v>
      </c>
      <c r="L203" t="s">
        <v>21</v>
      </c>
      <c r="M203">
        <f t="shared" si="7"/>
        <v>118923</v>
      </c>
    </row>
    <row r="204" spans="1:13">
      <c r="A204" s="11" t="s">
        <v>143</v>
      </c>
      <c r="B204" s="12">
        <v>116604</v>
      </c>
      <c r="C204" t="str">
        <f t="shared" si="6"/>
        <v>C</v>
      </c>
      <c r="I204" s="11" t="s">
        <v>156</v>
      </c>
      <c r="J204" s="15">
        <v>2.0012652767238941E-2</v>
      </c>
      <c r="K204" t="s">
        <v>15</v>
      </c>
      <c r="L204" t="s">
        <v>21</v>
      </c>
      <c r="M204">
        <f t="shared" si="7"/>
        <v>107297</v>
      </c>
    </row>
    <row r="205" spans="1:13">
      <c r="A205" s="11" t="s">
        <v>155</v>
      </c>
      <c r="B205" s="12">
        <v>123367</v>
      </c>
      <c r="C205" t="str">
        <f t="shared" si="6"/>
        <v>C</v>
      </c>
      <c r="I205" s="11" t="s">
        <v>55</v>
      </c>
      <c r="J205" s="15">
        <v>2.8845329691039336E-2</v>
      </c>
      <c r="K205" t="s">
        <v>15</v>
      </c>
      <c r="L205" t="s">
        <v>21</v>
      </c>
      <c r="M205">
        <f t="shared" si="7"/>
        <v>121772</v>
      </c>
    </row>
    <row r="206" spans="1:13">
      <c r="A206" s="11" t="s">
        <v>241</v>
      </c>
      <c r="B206" s="12">
        <v>341883</v>
      </c>
      <c r="C206" t="str">
        <f t="shared" si="6"/>
        <v>C</v>
      </c>
      <c r="I206" s="11" t="s">
        <v>218</v>
      </c>
      <c r="J206" s="15">
        <v>2.58879874914433E-2</v>
      </c>
      <c r="K206" t="s">
        <v>15</v>
      </c>
      <c r="L206" t="s">
        <v>21</v>
      </c>
      <c r="M206">
        <f t="shared" si="7"/>
        <v>118339</v>
      </c>
    </row>
    <row r="207" spans="1:13">
      <c r="A207" s="11" t="s">
        <v>259</v>
      </c>
      <c r="B207" s="12">
        <v>100600</v>
      </c>
      <c r="C207" t="str">
        <f t="shared" si="6"/>
        <v>C</v>
      </c>
      <c r="I207" s="11" t="s">
        <v>248</v>
      </c>
      <c r="J207" s="15">
        <v>2.7629591732341835E-2</v>
      </c>
      <c r="K207" t="s">
        <v>15</v>
      </c>
      <c r="L207" t="s">
        <v>21</v>
      </c>
      <c r="M207">
        <f t="shared" si="7"/>
        <v>106775</v>
      </c>
    </row>
    <row r="208" spans="1:13">
      <c r="A208" s="11" t="s">
        <v>137</v>
      </c>
      <c r="B208" s="12">
        <v>448514</v>
      </c>
      <c r="C208" t="str">
        <f t="shared" si="6"/>
        <v>C</v>
      </c>
      <c r="I208" s="11" t="s">
        <v>154</v>
      </c>
      <c r="J208" s="15">
        <v>2.6576100617991181E-2</v>
      </c>
      <c r="K208" t="s">
        <v>15</v>
      </c>
      <c r="L208" t="s">
        <v>21</v>
      </c>
      <c r="M208">
        <f t="shared" si="7"/>
        <v>118177</v>
      </c>
    </row>
    <row r="209" spans="1:13">
      <c r="A209" s="11" t="s">
        <v>279</v>
      </c>
      <c r="B209" s="12">
        <v>368311</v>
      </c>
      <c r="C209" t="str">
        <f t="shared" si="6"/>
        <v>C</v>
      </c>
      <c r="I209" s="11" t="s">
        <v>254</v>
      </c>
      <c r="J209" s="15">
        <v>3.0828562815194756E-2</v>
      </c>
      <c r="K209" t="s">
        <v>15</v>
      </c>
      <c r="L209" t="s">
        <v>21</v>
      </c>
      <c r="M209">
        <f t="shared" si="7"/>
        <v>121539</v>
      </c>
    </row>
    <row r="210" spans="1:13">
      <c r="A210" s="11" t="s">
        <v>83</v>
      </c>
      <c r="B210" s="12">
        <v>149509</v>
      </c>
      <c r="C210" t="str">
        <f t="shared" si="6"/>
        <v>C</v>
      </c>
      <c r="I210" s="11" t="s">
        <v>134</v>
      </c>
      <c r="J210" s="15">
        <v>2.8733146133774517E-2</v>
      </c>
      <c r="K210" t="s">
        <v>15</v>
      </c>
      <c r="L210" t="s">
        <v>21</v>
      </c>
      <c r="M210">
        <f t="shared" si="7"/>
        <v>113196</v>
      </c>
    </row>
    <row r="211" spans="1:13">
      <c r="A211" s="11" t="s">
        <v>53</v>
      </c>
      <c r="B211" s="12">
        <v>1107473</v>
      </c>
      <c r="C211" t="str">
        <f t="shared" si="6"/>
        <v>C</v>
      </c>
      <c r="I211" s="11" t="s">
        <v>224</v>
      </c>
      <c r="J211" s="15">
        <v>2.4181140488058753E-2</v>
      </c>
      <c r="K211" t="s">
        <v>15</v>
      </c>
      <c r="L211" t="s">
        <v>21</v>
      </c>
      <c r="M211">
        <f t="shared" si="7"/>
        <v>118452</v>
      </c>
    </row>
    <row r="212" spans="1:13">
      <c r="A212" s="11" t="s">
        <v>198</v>
      </c>
      <c r="B212" s="12">
        <v>316318</v>
      </c>
      <c r="C212" t="str">
        <f t="shared" si="6"/>
        <v>C</v>
      </c>
      <c r="I212" s="11" t="s">
        <v>155</v>
      </c>
      <c r="J212" s="15">
        <v>2.3853278646992455E-2</v>
      </c>
      <c r="K212" t="s">
        <v>15</v>
      </c>
      <c r="L212" t="s">
        <v>21</v>
      </c>
      <c r="M212">
        <f t="shared" si="7"/>
        <v>123367</v>
      </c>
    </row>
    <row r="213" spans="1:13">
      <c r="A213" s="11" t="s">
        <v>251</v>
      </c>
      <c r="B213" s="12">
        <v>141576</v>
      </c>
      <c r="C213" t="str">
        <f t="shared" si="6"/>
        <v>C</v>
      </c>
      <c r="I213" s="11" t="s">
        <v>273</v>
      </c>
      <c r="J213" s="15">
        <v>2.651244361963976E-2</v>
      </c>
      <c r="K213" t="s">
        <v>15</v>
      </c>
      <c r="L213" t="s">
        <v>21</v>
      </c>
      <c r="M213">
        <f t="shared" si="7"/>
        <v>106340</v>
      </c>
    </row>
    <row r="214" spans="1:13">
      <c r="A214" s="11" t="s">
        <v>105</v>
      </c>
      <c r="B214" s="12">
        <v>1240958</v>
      </c>
      <c r="C214" t="str">
        <f t="shared" si="6"/>
        <v>C</v>
      </c>
      <c r="I214" s="11" t="s">
        <v>69</v>
      </c>
      <c r="J214" s="15">
        <v>2.2588171403710628E-2</v>
      </c>
      <c r="K214" t="s">
        <v>15</v>
      </c>
      <c r="L214" t="s">
        <v>21</v>
      </c>
      <c r="M214">
        <f t="shared" si="7"/>
        <v>117023</v>
      </c>
    </row>
    <row r="215" spans="1:13">
      <c r="A215" s="11" t="s">
        <v>177</v>
      </c>
      <c r="B215" s="12">
        <v>197776</v>
      </c>
      <c r="C215" t="str">
        <f t="shared" si="6"/>
        <v>C</v>
      </c>
      <c r="I215" s="11" t="s">
        <v>64</v>
      </c>
      <c r="J215" s="15">
        <v>0.20738054867521391</v>
      </c>
      <c r="K215" t="s">
        <v>15</v>
      </c>
      <c r="L215" t="s">
        <v>20</v>
      </c>
      <c r="M215">
        <f t="shared" si="7"/>
        <v>111870</v>
      </c>
    </row>
    <row r="216" spans="1:13">
      <c r="A216" s="11" t="s">
        <v>217</v>
      </c>
      <c r="B216" s="12">
        <v>297280</v>
      </c>
      <c r="C216" t="str">
        <f t="shared" si="6"/>
        <v>C</v>
      </c>
      <c r="I216" s="11" t="s">
        <v>58</v>
      </c>
      <c r="J216" s="15">
        <v>0.16353938594933334</v>
      </c>
      <c r="K216" t="s">
        <v>15</v>
      </c>
      <c r="L216" t="s">
        <v>20</v>
      </c>
      <c r="M216">
        <f t="shared" si="7"/>
        <v>101840</v>
      </c>
    </row>
    <row r="217" spans="1:13">
      <c r="A217" s="11" t="s">
        <v>146</v>
      </c>
      <c r="B217" s="12">
        <v>1240010</v>
      </c>
      <c r="C217" t="str">
        <f t="shared" si="6"/>
        <v>C</v>
      </c>
      <c r="I217" s="11" t="s">
        <v>106</v>
      </c>
      <c r="J217" s="15">
        <v>0.14315271186583975</v>
      </c>
      <c r="K217" t="s">
        <v>15</v>
      </c>
      <c r="L217" t="s">
        <v>20</v>
      </c>
      <c r="M217">
        <f t="shared" si="7"/>
        <v>95435</v>
      </c>
    </row>
    <row r="218" spans="1:13">
      <c r="A218" s="11" t="s">
        <v>174</v>
      </c>
      <c r="B218" s="12">
        <v>994836</v>
      </c>
      <c r="C218" t="str">
        <f t="shared" si="6"/>
        <v>C</v>
      </c>
      <c r="I218" s="11" t="s">
        <v>71</v>
      </c>
      <c r="J218" s="15">
        <v>0.15299123404302523</v>
      </c>
      <c r="K218" t="s">
        <v>15</v>
      </c>
      <c r="L218" t="s">
        <v>20</v>
      </c>
      <c r="M218">
        <f t="shared" si="7"/>
        <v>122078</v>
      </c>
    </row>
    <row r="219" spans="1:13">
      <c r="A219" s="11" t="s">
        <v>141</v>
      </c>
      <c r="B219" s="12">
        <v>913039</v>
      </c>
      <c r="C219" t="str">
        <f t="shared" si="6"/>
        <v>C</v>
      </c>
      <c r="I219" s="11" t="s">
        <v>152</v>
      </c>
      <c r="J219" s="15">
        <v>0.15311356113482977</v>
      </c>
      <c r="K219" t="s">
        <v>15</v>
      </c>
      <c r="L219" t="s">
        <v>20</v>
      </c>
      <c r="M219">
        <f t="shared" si="7"/>
        <v>125704</v>
      </c>
    </row>
    <row r="220" spans="1:13">
      <c r="A220" s="11" t="s">
        <v>223</v>
      </c>
      <c r="B220" s="12">
        <v>128087</v>
      </c>
      <c r="C220" t="str">
        <f t="shared" si="6"/>
        <v>C</v>
      </c>
      <c r="I220" s="11" t="s">
        <v>128</v>
      </c>
      <c r="J220" s="15">
        <v>0.1611328824306949</v>
      </c>
      <c r="K220" t="s">
        <v>15</v>
      </c>
      <c r="L220" t="s">
        <v>20</v>
      </c>
      <c r="M220">
        <f t="shared" si="7"/>
        <v>124878</v>
      </c>
    </row>
    <row r="221" spans="1:13">
      <c r="A221" s="11" t="s">
        <v>125</v>
      </c>
      <c r="B221" s="12">
        <v>1083782</v>
      </c>
      <c r="C221" t="str">
        <f t="shared" si="6"/>
        <v>C</v>
      </c>
      <c r="I221" s="11" t="s">
        <v>165</v>
      </c>
      <c r="J221" s="15">
        <v>0.19222564329766245</v>
      </c>
      <c r="K221" t="s">
        <v>15</v>
      </c>
      <c r="L221" t="s">
        <v>20</v>
      </c>
      <c r="M221">
        <f t="shared" si="7"/>
        <v>115363</v>
      </c>
    </row>
    <row r="222" spans="1:13">
      <c r="A222" s="11" t="s">
        <v>273</v>
      </c>
      <c r="B222" s="12">
        <v>106340</v>
      </c>
      <c r="C222" t="str">
        <f t="shared" si="6"/>
        <v>C</v>
      </c>
      <c r="I222" s="11" t="s">
        <v>226</v>
      </c>
      <c r="J222" s="15">
        <v>0.1552893952373032</v>
      </c>
      <c r="K222" t="s">
        <v>15</v>
      </c>
      <c r="L222" t="s">
        <v>20</v>
      </c>
      <c r="M222">
        <f t="shared" si="7"/>
        <v>121928</v>
      </c>
    </row>
    <row r="223" spans="1:13">
      <c r="A223" s="11" t="s">
        <v>214</v>
      </c>
      <c r="B223" s="12">
        <v>388225</v>
      </c>
      <c r="C223" t="str">
        <f t="shared" si="6"/>
        <v>C</v>
      </c>
      <c r="I223" s="11" t="s">
        <v>253</v>
      </c>
      <c r="J223" s="15">
        <v>0.10521394691163193</v>
      </c>
      <c r="K223" t="s">
        <v>15</v>
      </c>
      <c r="L223" t="s">
        <v>20</v>
      </c>
      <c r="M223">
        <f t="shared" si="7"/>
        <v>117071</v>
      </c>
    </row>
    <row r="224" spans="1:13">
      <c r="A224" s="11" t="s">
        <v>69</v>
      </c>
      <c r="B224" s="12">
        <v>117023</v>
      </c>
      <c r="C224" t="str">
        <f t="shared" si="6"/>
        <v>C</v>
      </c>
      <c r="I224" s="11" t="s">
        <v>207</v>
      </c>
      <c r="J224" s="15">
        <v>0.13608229798152016</v>
      </c>
      <c r="K224" t="s">
        <v>15</v>
      </c>
      <c r="L224" t="s">
        <v>20</v>
      </c>
      <c r="M224">
        <f t="shared" si="7"/>
        <v>117001</v>
      </c>
    </row>
    <row r="225" spans="1:13">
      <c r="A225" s="11" t="s">
        <v>195</v>
      </c>
      <c r="B225" s="12">
        <v>583912</v>
      </c>
      <c r="C225" t="str">
        <f t="shared" si="6"/>
        <v>C</v>
      </c>
      <c r="I225" s="11" t="s">
        <v>99</v>
      </c>
      <c r="J225" s="15">
        <v>0.11587990889611434</v>
      </c>
      <c r="K225" t="s">
        <v>15</v>
      </c>
      <c r="L225" t="s">
        <v>20</v>
      </c>
      <c r="M225">
        <f t="shared" si="7"/>
        <v>125189</v>
      </c>
    </row>
    <row r="226" spans="1:13">
      <c r="A226" s="11" t="s">
        <v>252</v>
      </c>
      <c r="B226" s="12">
        <v>158620</v>
      </c>
      <c r="C226" t="str">
        <f t="shared" si="6"/>
        <v>C</v>
      </c>
      <c r="I226" s="11" t="s">
        <v>265</v>
      </c>
      <c r="J226" s="15">
        <v>0.18121949574361851</v>
      </c>
      <c r="K226" t="s">
        <v>15</v>
      </c>
      <c r="L226" t="s">
        <v>20</v>
      </c>
      <c r="M226">
        <f t="shared" si="7"/>
        <v>122852</v>
      </c>
    </row>
    <row r="227" spans="1:13">
      <c r="A227" s="11" t="s">
        <v>282</v>
      </c>
      <c r="B227" s="12">
        <v>267233</v>
      </c>
      <c r="C227" t="str">
        <f t="shared" si="6"/>
        <v>C</v>
      </c>
      <c r="I227" s="11" t="s">
        <v>222</v>
      </c>
      <c r="J227" s="15">
        <v>0.18794510197311418</v>
      </c>
      <c r="K227" t="s">
        <v>15</v>
      </c>
      <c r="L227" t="s">
        <v>20</v>
      </c>
      <c r="M227">
        <f t="shared" si="7"/>
        <v>111910</v>
      </c>
    </row>
    <row r="228" spans="1:13">
      <c r="A228" s="11" t="s">
        <v>66</v>
      </c>
      <c r="B228" s="12">
        <v>147232</v>
      </c>
      <c r="C228" t="str">
        <f t="shared" si="6"/>
        <v>C</v>
      </c>
      <c r="I228" s="11" t="s">
        <v>111</v>
      </c>
      <c r="J228" s="15">
        <v>0.65074029726638472</v>
      </c>
      <c r="K228" t="s">
        <v>15</v>
      </c>
      <c r="L228" t="s">
        <v>19</v>
      </c>
      <c r="M228">
        <f t="shared" si="7"/>
        <v>125135</v>
      </c>
    </row>
    <row r="229" spans="1:13">
      <c r="A229" s="11" t="s">
        <v>266</v>
      </c>
      <c r="B229" s="12">
        <v>177251</v>
      </c>
      <c r="C229" t="str">
        <f t="shared" si="6"/>
        <v>C</v>
      </c>
      <c r="I229" s="11" t="s">
        <v>219</v>
      </c>
      <c r="J229" s="15">
        <v>0.63180362418477609</v>
      </c>
      <c r="K229" t="s">
        <v>15</v>
      </c>
      <c r="L229" t="s">
        <v>19</v>
      </c>
      <c r="M229">
        <f t="shared" si="7"/>
        <v>124273</v>
      </c>
    </row>
    <row r="230" spans="1:13">
      <c r="A230" s="11" t="s">
        <v>225</v>
      </c>
      <c r="B230" s="12">
        <v>125352</v>
      </c>
      <c r="C230" t="str">
        <f t="shared" si="6"/>
        <v>C</v>
      </c>
      <c r="I230" s="11" t="s">
        <v>274</v>
      </c>
      <c r="J230" s="15">
        <v>0.60488421800019176</v>
      </c>
      <c r="K230" t="s">
        <v>15</v>
      </c>
      <c r="L230" t="s">
        <v>19</v>
      </c>
      <c r="M230">
        <f t="shared" si="7"/>
        <v>122028</v>
      </c>
    </row>
    <row r="231" spans="1:13">
      <c r="A231" s="11" t="s">
        <v>135</v>
      </c>
      <c r="B231" s="12">
        <v>263323</v>
      </c>
      <c r="C231" t="str">
        <f t="shared" si="6"/>
        <v>C</v>
      </c>
      <c r="I231" s="11" t="s">
        <v>149</v>
      </c>
      <c r="J231" s="15">
        <v>0.59085947642069947</v>
      </c>
      <c r="K231" t="s">
        <v>15</v>
      </c>
      <c r="L231" t="s">
        <v>19</v>
      </c>
      <c r="M231">
        <f t="shared" si="7"/>
        <v>124952</v>
      </c>
    </row>
    <row r="232" spans="1:13">
      <c r="A232" s="11" t="s">
        <v>57</v>
      </c>
      <c r="B232" s="12">
        <v>406143</v>
      </c>
      <c r="C232" t="str">
        <f t="shared" si="6"/>
        <v>C</v>
      </c>
      <c r="I232" s="11" t="s">
        <v>121</v>
      </c>
      <c r="J232" s="15">
        <v>0.59152016276991726</v>
      </c>
      <c r="K232" t="s">
        <v>15</v>
      </c>
      <c r="L232" t="s">
        <v>19</v>
      </c>
      <c r="M232">
        <f t="shared" si="7"/>
        <v>110007</v>
      </c>
    </row>
    <row r="233" spans="1:13">
      <c r="A233" s="11" t="s">
        <v>280</v>
      </c>
      <c r="B233" s="12">
        <v>335578</v>
      </c>
      <c r="C233" t="str">
        <f t="shared" si="6"/>
        <v>C</v>
      </c>
      <c r="I233" s="11" t="s">
        <v>237</v>
      </c>
      <c r="J233" s="15">
        <v>0.85135240434389692</v>
      </c>
      <c r="K233" t="s">
        <v>15</v>
      </c>
      <c r="L233" t="s">
        <v>19</v>
      </c>
      <c r="M233">
        <f t="shared" si="7"/>
        <v>98585</v>
      </c>
    </row>
    <row r="234" spans="1:13">
      <c r="A234" s="11" t="s">
        <v>166</v>
      </c>
      <c r="B234" s="12">
        <v>467183</v>
      </c>
      <c r="C234" t="str">
        <f t="shared" si="6"/>
        <v>C</v>
      </c>
      <c r="I234" s="11" t="s">
        <v>210</v>
      </c>
      <c r="J234" s="15">
        <v>0.67360990840486945</v>
      </c>
      <c r="K234" t="s">
        <v>15</v>
      </c>
      <c r="L234" t="s">
        <v>19</v>
      </c>
      <c r="M234">
        <f t="shared" si="7"/>
        <v>105608</v>
      </c>
    </row>
    <row r="235" spans="1:13">
      <c r="A235" s="11" t="s">
        <v>127</v>
      </c>
      <c r="B235" s="12">
        <v>215586</v>
      </c>
      <c r="C235" t="str">
        <f t="shared" si="6"/>
        <v>C</v>
      </c>
      <c r="I235" s="11" t="s">
        <v>233</v>
      </c>
      <c r="J235" s="15">
        <v>0.66157531943198078</v>
      </c>
      <c r="K235" t="s">
        <v>15</v>
      </c>
      <c r="L235" t="s">
        <v>19</v>
      </c>
      <c r="M235">
        <f t="shared" si="7"/>
        <v>106272</v>
      </c>
    </row>
    <row r="236" spans="1:13">
      <c r="A236" s="11" t="s">
        <v>222</v>
      </c>
      <c r="B236" s="12">
        <v>111910</v>
      </c>
      <c r="C236" t="str">
        <f t="shared" si="6"/>
        <v>C</v>
      </c>
      <c r="I236" s="11" t="s">
        <v>143</v>
      </c>
      <c r="J236" s="15">
        <v>0.62083343108519207</v>
      </c>
      <c r="K236" t="s">
        <v>15</v>
      </c>
      <c r="L236" t="s">
        <v>19</v>
      </c>
      <c r="M236">
        <f t="shared" si="7"/>
        <v>116604</v>
      </c>
    </row>
    <row r="237" spans="1:13">
      <c r="A237" s="11" t="s">
        <v>205</v>
      </c>
      <c r="B237" s="12">
        <v>1142774</v>
      </c>
      <c r="C237" t="str">
        <f t="shared" si="6"/>
        <v>C</v>
      </c>
      <c r="I237" s="11" t="s">
        <v>259</v>
      </c>
      <c r="J237" s="15">
        <v>0.7126006676061386</v>
      </c>
      <c r="K237" t="s">
        <v>15</v>
      </c>
      <c r="L237" t="s">
        <v>19</v>
      </c>
      <c r="M237">
        <f t="shared" si="7"/>
        <v>100600</v>
      </c>
    </row>
    <row r="238" spans="1:13">
      <c r="A238" s="11" t="s">
        <v>272</v>
      </c>
      <c r="B238" s="12">
        <v>146192</v>
      </c>
      <c r="C238" t="str">
        <f t="shared" si="6"/>
        <v>C</v>
      </c>
      <c r="I238" s="11" t="s">
        <v>225</v>
      </c>
      <c r="J238" s="15">
        <v>0.50576642211098521</v>
      </c>
      <c r="K238" t="s">
        <v>15</v>
      </c>
      <c r="L238" t="s">
        <v>19</v>
      </c>
      <c r="M238">
        <f t="shared" si="7"/>
        <v>125352</v>
      </c>
    </row>
  </sheetData>
  <sortState ref="I2:L4957">
    <sortCondition ref="K2:K4957"/>
    <sortCondition ref="L2:L495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69"/>
  <sheetViews>
    <sheetView workbookViewId="0">
      <selection sqref="A1:D1048576"/>
    </sheetView>
  </sheetViews>
  <sheetFormatPr defaultRowHeight="15"/>
  <cols>
    <col min="1" max="1" width="32" customWidth="1"/>
    <col min="2" max="2" width="35.42578125" customWidth="1"/>
    <col min="3" max="3" width="16" customWidth="1"/>
    <col min="4" max="4" width="18.28515625" customWidth="1"/>
    <col min="5" max="6" width="9" customWidth="1"/>
  </cols>
  <sheetData>
    <row r="1" spans="1:5">
      <c r="A1" s="7" t="s">
        <v>0</v>
      </c>
      <c r="B1" s="7" t="s">
        <v>1</v>
      </c>
      <c r="C1" s="7" t="s">
        <v>2</v>
      </c>
      <c r="D1" s="7" t="s">
        <v>3</v>
      </c>
      <c r="E1" s="1"/>
    </row>
    <row r="2" spans="1:5">
      <c r="A2" t="s">
        <v>27</v>
      </c>
      <c r="B2" t="s">
        <v>68</v>
      </c>
      <c r="C2" s="8">
        <v>46023</v>
      </c>
      <c r="D2" s="9">
        <v>15148</v>
      </c>
    </row>
    <row r="3" spans="1:5">
      <c r="A3" t="s">
        <v>38</v>
      </c>
      <c r="B3" t="s">
        <v>69</v>
      </c>
      <c r="C3" s="8">
        <v>46023</v>
      </c>
      <c r="D3" s="9">
        <v>14553</v>
      </c>
    </row>
    <row r="4" spans="1:5">
      <c r="A4" t="s">
        <v>4</v>
      </c>
      <c r="B4" t="s">
        <v>70</v>
      </c>
      <c r="C4" s="8">
        <v>46023</v>
      </c>
      <c r="D4" s="9">
        <v>20048</v>
      </c>
    </row>
    <row r="5" spans="1:5">
      <c r="A5" t="s">
        <v>4</v>
      </c>
      <c r="B5" t="s">
        <v>53</v>
      </c>
      <c r="C5" s="8">
        <v>46023</v>
      </c>
      <c r="D5" s="9">
        <v>48390</v>
      </c>
    </row>
    <row r="6" spans="1:5">
      <c r="A6" t="s">
        <v>31</v>
      </c>
      <c r="B6" t="s">
        <v>56</v>
      </c>
      <c r="C6" s="8">
        <v>46023</v>
      </c>
      <c r="D6" s="9">
        <v>16020</v>
      </c>
    </row>
    <row r="7" spans="1:5">
      <c r="A7" t="s">
        <v>28</v>
      </c>
      <c r="B7" t="s">
        <v>71</v>
      </c>
      <c r="C7" s="8">
        <v>46023</v>
      </c>
      <c r="D7" s="9">
        <v>14093</v>
      </c>
    </row>
    <row r="8" spans="1:5">
      <c r="A8" t="s">
        <v>6</v>
      </c>
      <c r="B8" t="s">
        <v>72</v>
      </c>
      <c r="C8" s="8">
        <v>46023</v>
      </c>
      <c r="D8" s="9">
        <v>21995</v>
      </c>
    </row>
    <row r="9" spans="1:5">
      <c r="A9" t="s">
        <v>6</v>
      </c>
      <c r="B9" t="s">
        <v>73</v>
      </c>
      <c r="C9" s="8">
        <v>46023</v>
      </c>
      <c r="D9" s="9">
        <v>5200</v>
      </c>
    </row>
    <row r="10" spans="1:5">
      <c r="A10" t="s">
        <v>6</v>
      </c>
      <c r="B10" t="s">
        <v>74</v>
      </c>
      <c r="C10" s="8">
        <v>46023</v>
      </c>
      <c r="D10" s="9">
        <v>40292</v>
      </c>
    </row>
    <row r="11" spans="1:5">
      <c r="A11" t="s">
        <v>7</v>
      </c>
      <c r="B11" t="s">
        <v>75</v>
      </c>
      <c r="C11" s="8">
        <v>46023</v>
      </c>
      <c r="D11" s="9">
        <v>19863</v>
      </c>
    </row>
    <row r="12" spans="1:5">
      <c r="A12" t="s">
        <v>7</v>
      </c>
      <c r="B12" t="s">
        <v>76</v>
      </c>
      <c r="C12" s="8">
        <v>46023</v>
      </c>
      <c r="D12" s="9">
        <v>26488</v>
      </c>
    </row>
    <row r="13" spans="1:5">
      <c r="A13" t="s">
        <v>7</v>
      </c>
      <c r="B13" t="s">
        <v>77</v>
      </c>
      <c r="C13" s="8">
        <v>46023</v>
      </c>
      <c r="D13" s="9">
        <v>27527</v>
      </c>
    </row>
    <row r="14" spans="1:5">
      <c r="A14" t="s">
        <v>9</v>
      </c>
      <c r="B14" t="s">
        <v>78</v>
      </c>
      <c r="C14" s="8">
        <v>46023</v>
      </c>
      <c r="D14" s="9">
        <v>49397</v>
      </c>
    </row>
    <row r="15" spans="1:5">
      <c r="A15" t="s">
        <v>9</v>
      </c>
      <c r="B15" t="s">
        <v>79</v>
      </c>
      <c r="C15" s="8">
        <v>46023</v>
      </c>
      <c r="D15" s="9">
        <v>50935</v>
      </c>
    </row>
    <row r="16" spans="1:5">
      <c r="A16" t="s">
        <v>5</v>
      </c>
      <c r="B16" t="s">
        <v>80</v>
      </c>
      <c r="C16" s="8">
        <v>46023</v>
      </c>
      <c r="D16" s="9">
        <v>51053</v>
      </c>
    </row>
    <row r="17" spans="1:4">
      <c r="A17" t="s">
        <v>5</v>
      </c>
      <c r="B17" t="s">
        <v>81</v>
      </c>
      <c r="C17" s="8">
        <v>46023</v>
      </c>
      <c r="D17" s="9">
        <v>39202</v>
      </c>
    </row>
    <row r="18" spans="1:4">
      <c r="A18" t="s">
        <v>5</v>
      </c>
      <c r="B18" t="s">
        <v>53</v>
      </c>
      <c r="C18" s="8">
        <v>46023</v>
      </c>
      <c r="D18" s="9">
        <v>36260</v>
      </c>
    </row>
    <row r="19" spans="1:4">
      <c r="A19" t="s">
        <v>27</v>
      </c>
      <c r="B19" t="s">
        <v>82</v>
      </c>
      <c r="C19" s="8">
        <v>46024</v>
      </c>
      <c r="D19" s="9">
        <v>20196</v>
      </c>
    </row>
    <row r="20" spans="1:4">
      <c r="A20" t="s">
        <v>27</v>
      </c>
      <c r="B20" t="s">
        <v>83</v>
      </c>
      <c r="C20" s="8">
        <v>46024</v>
      </c>
      <c r="D20" s="9">
        <v>19494</v>
      </c>
    </row>
    <row r="21" spans="1:4">
      <c r="A21" t="s">
        <v>4</v>
      </c>
      <c r="B21" t="s">
        <v>84</v>
      </c>
      <c r="C21" s="8">
        <v>46024</v>
      </c>
      <c r="D21" s="9">
        <v>30195</v>
      </c>
    </row>
    <row r="22" spans="1:4">
      <c r="A22" t="s">
        <v>4</v>
      </c>
      <c r="B22" t="s">
        <v>85</v>
      </c>
      <c r="C22" s="8">
        <v>46024</v>
      </c>
      <c r="D22" s="9">
        <v>35045</v>
      </c>
    </row>
    <row r="23" spans="1:4">
      <c r="A23" t="s">
        <v>8</v>
      </c>
      <c r="B23" t="s">
        <v>86</v>
      </c>
      <c r="C23" s="8">
        <v>46024</v>
      </c>
      <c r="D23" s="9">
        <v>22185</v>
      </c>
    </row>
    <row r="24" spans="1:4">
      <c r="A24" t="s">
        <v>32</v>
      </c>
      <c r="B24" t="s">
        <v>87</v>
      </c>
      <c r="C24" s="8">
        <v>46024</v>
      </c>
      <c r="D24" s="9">
        <v>13729</v>
      </c>
    </row>
    <row r="25" spans="1:4">
      <c r="A25" t="s">
        <v>7</v>
      </c>
      <c r="B25" t="s">
        <v>88</v>
      </c>
      <c r="C25" s="8">
        <v>46024</v>
      </c>
      <c r="D25" s="9">
        <v>55299</v>
      </c>
    </row>
    <row r="26" spans="1:4">
      <c r="A26" t="s">
        <v>7</v>
      </c>
      <c r="B26" t="s">
        <v>89</v>
      </c>
      <c r="C26" s="8">
        <v>46024</v>
      </c>
      <c r="D26" s="9">
        <v>27364</v>
      </c>
    </row>
    <row r="27" spans="1:4">
      <c r="A27" t="s">
        <v>7</v>
      </c>
      <c r="B27" t="s">
        <v>90</v>
      </c>
      <c r="C27" s="8">
        <v>46024</v>
      </c>
      <c r="D27" s="9">
        <v>28896</v>
      </c>
    </row>
    <row r="28" spans="1:4">
      <c r="A28" t="s">
        <v>9</v>
      </c>
      <c r="B28" t="s">
        <v>91</v>
      </c>
      <c r="C28" s="8">
        <v>46024</v>
      </c>
      <c r="D28" s="9">
        <v>38584</v>
      </c>
    </row>
    <row r="29" spans="1:4">
      <c r="A29" t="s">
        <v>9</v>
      </c>
      <c r="B29" t="s">
        <v>92</v>
      </c>
      <c r="C29" s="8">
        <v>46024</v>
      </c>
      <c r="D29" s="9">
        <v>42991</v>
      </c>
    </row>
    <row r="30" spans="1:4">
      <c r="A30" t="s">
        <v>5</v>
      </c>
      <c r="B30" t="s">
        <v>93</v>
      </c>
      <c r="C30" s="8">
        <v>46024</v>
      </c>
      <c r="D30" s="9">
        <v>45969</v>
      </c>
    </row>
    <row r="31" spans="1:4">
      <c r="A31" t="s">
        <v>5</v>
      </c>
      <c r="B31" t="s">
        <v>94</v>
      </c>
      <c r="C31" s="8">
        <v>46024</v>
      </c>
      <c r="D31" s="9">
        <v>34234</v>
      </c>
    </row>
    <row r="32" spans="1:4">
      <c r="A32" t="s">
        <v>5</v>
      </c>
      <c r="B32" t="s">
        <v>95</v>
      </c>
      <c r="C32" s="8">
        <v>46024</v>
      </c>
      <c r="D32" s="9">
        <v>29086</v>
      </c>
    </row>
    <row r="33" spans="1:4">
      <c r="A33" t="s">
        <v>4</v>
      </c>
      <c r="B33" t="s">
        <v>96</v>
      </c>
      <c r="C33" s="8">
        <v>46025</v>
      </c>
      <c r="D33" s="9">
        <v>40834</v>
      </c>
    </row>
    <row r="34" spans="1:4">
      <c r="A34" t="s">
        <v>26</v>
      </c>
      <c r="B34" t="s">
        <v>97</v>
      </c>
      <c r="C34" s="8">
        <v>46025</v>
      </c>
      <c r="D34" s="9">
        <v>19030</v>
      </c>
    </row>
    <row r="35" spans="1:4">
      <c r="A35" t="s">
        <v>8</v>
      </c>
      <c r="B35" t="s">
        <v>98</v>
      </c>
      <c r="C35" s="8">
        <v>46025</v>
      </c>
      <c r="D35" s="9">
        <v>35495</v>
      </c>
    </row>
    <row r="36" spans="1:4">
      <c r="A36" t="s">
        <v>32</v>
      </c>
      <c r="B36" t="s">
        <v>99</v>
      </c>
      <c r="C36" s="8">
        <v>46025</v>
      </c>
      <c r="D36" s="9">
        <v>16343</v>
      </c>
    </row>
    <row r="37" spans="1:4">
      <c r="A37" t="s">
        <v>6</v>
      </c>
      <c r="B37" t="s">
        <v>49</v>
      </c>
      <c r="C37" s="8">
        <v>46025</v>
      </c>
      <c r="D37" s="9">
        <v>15460</v>
      </c>
    </row>
    <row r="38" spans="1:4">
      <c r="A38" t="s">
        <v>29</v>
      </c>
      <c r="B38" t="s">
        <v>59</v>
      </c>
      <c r="C38" s="8">
        <v>46025</v>
      </c>
      <c r="D38" s="9">
        <v>15637</v>
      </c>
    </row>
    <row r="39" spans="1:4">
      <c r="A39" t="s">
        <v>7</v>
      </c>
      <c r="B39" t="s">
        <v>100</v>
      </c>
      <c r="C39" s="8">
        <v>46025</v>
      </c>
      <c r="D39" s="9">
        <v>28484</v>
      </c>
    </row>
    <row r="40" spans="1:4">
      <c r="A40" t="s">
        <v>9</v>
      </c>
      <c r="B40" t="s">
        <v>101</v>
      </c>
      <c r="C40" s="8">
        <v>46025</v>
      </c>
      <c r="D40" s="9">
        <v>17798</v>
      </c>
    </row>
    <row r="41" spans="1:4">
      <c r="A41" t="s">
        <v>9</v>
      </c>
      <c r="B41" t="s">
        <v>102</v>
      </c>
      <c r="C41" s="8">
        <v>46025</v>
      </c>
      <c r="D41" s="9">
        <v>30741</v>
      </c>
    </row>
    <row r="42" spans="1:4">
      <c r="A42" t="s">
        <v>5</v>
      </c>
      <c r="B42" t="s">
        <v>103</v>
      </c>
      <c r="C42" s="8">
        <v>46025</v>
      </c>
      <c r="D42" s="9">
        <v>33605</v>
      </c>
    </row>
    <row r="43" spans="1:4">
      <c r="A43" t="s">
        <v>5</v>
      </c>
      <c r="B43" t="s">
        <v>80</v>
      </c>
      <c r="C43" s="8">
        <v>46025</v>
      </c>
      <c r="D43" s="9">
        <v>38010</v>
      </c>
    </row>
    <row r="44" spans="1:4">
      <c r="A44" t="s">
        <v>5</v>
      </c>
      <c r="B44" t="s">
        <v>104</v>
      </c>
      <c r="C44" s="8">
        <v>46025</v>
      </c>
      <c r="D44" s="9">
        <v>41612</v>
      </c>
    </row>
    <row r="45" spans="1:4">
      <c r="A45" t="s">
        <v>5</v>
      </c>
      <c r="B45" t="s">
        <v>105</v>
      </c>
      <c r="C45" s="8">
        <v>46025</v>
      </c>
      <c r="D45" s="9">
        <v>48535</v>
      </c>
    </row>
    <row r="46" spans="1:4">
      <c r="A46" t="s">
        <v>31</v>
      </c>
      <c r="B46" t="s">
        <v>106</v>
      </c>
      <c r="C46" s="8">
        <v>46026</v>
      </c>
      <c r="D46" s="9">
        <v>10474</v>
      </c>
    </row>
    <row r="47" spans="1:4">
      <c r="A47" t="s">
        <v>31</v>
      </c>
      <c r="B47" t="s">
        <v>107</v>
      </c>
      <c r="C47" s="8">
        <v>46026</v>
      </c>
      <c r="D47" s="9">
        <v>12581</v>
      </c>
    </row>
    <row r="48" spans="1:4">
      <c r="A48" t="s">
        <v>25</v>
      </c>
      <c r="B48" t="s">
        <v>108</v>
      </c>
      <c r="C48" s="8">
        <v>46026</v>
      </c>
      <c r="D48" s="9">
        <v>16355</v>
      </c>
    </row>
    <row r="49" spans="1:4">
      <c r="A49" t="s">
        <v>29</v>
      </c>
      <c r="B49" t="s">
        <v>109</v>
      </c>
      <c r="C49" s="8">
        <v>46026</v>
      </c>
      <c r="D49" s="9">
        <v>24695</v>
      </c>
    </row>
    <row r="50" spans="1:4">
      <c r="A50" t="s">
        <v>9</v>
      </c>
      <c r="B50" t="s">
        <v>48</v>
      </c>
      <c r="C50" s="8">
        <v>46026</v>
      </c>
      <c r="D50" s="9">
        <v>36793</v>
      </c>
    </row>
    <row r="51" spans="1:4">
      <c r="A51" t="s">
        <v>5</v>
      </c>
      <c r="B51" t="s">
        <v>110</v>
      </c>
      <c r="C51" s="8">
        <v>46026</v>
      </c>
      <c r="D51" s="9">
        <v>36715</v>
      </c>
    </row>
    <row r="52" spans="1:4">
      <c r="A52" t="s">
        <v>30</v>
      </c>
      <c r="B52" t="s">
        <v>111</v>
      </c>
      <c r="C52" s="8">
        <v>46027</v>
      </c>
      <c r="D52" s="9">
        <v>11600</v>
      </c>
    </row>
    <row r="53" spans="1:4">
      <c r="A53" t="s">
        <v>8</v>
      </c>
      <c r="B53" t="s">
        <v>52</v>
      </c>
      <c r="C53" s="8">
        <v>46027</v>
      </c>
      <c r="D53" s="9">
        <v>21036</v>
      </c>
    </row>
    <row r="54" spans="1:4">
      <c r="A54" t="s">
        <v>6</v>
      </c>
      <c r="B54" t="s">
        <v>112</v>
      </c>
      <c r="C54" s="8">
        <v>46027</v>
      </c>
      <c r="D54" s="9">
        <v>26644</v>
      </c>
    </row>
    <row r="55" spans="1:4">
      <c r="A55" t="s">
        <v>7</v>
      </c>
      <c r="B55" t="s">
        <v>113</v>
      </c>
      <c r="C55" s="8">
        <v>46027</v>
      </c>
      <c r="D55" s="9">
        <v>28959</v>
      </c>
    </row>
    <row r="56" spans="1:4">
      <c r="A56" t="s">
        <v>7</v>
      </c>
      <c r="B56" t="s">
        <v>114</v>
      </c>
      <c r="C56" s="8">
        <v>46027</v>
      </c>
      <c r="D56" s="9">
        <v>26463</v>
      </c>
    </row>
    <row r="57" spans="1:4">
      <c r="A57" t="s">
        <v>9</v>
      </c>
      <c r="B57" t="s">
        <v>50</v>
      </c>
      <c r="C57" s="8">
        <v>46027</v>
      </c>
      <c r="D57" s="9">
        <v>38704</v>
      </c>
    </row>
    <row r="58" spans="1:4">
      <c r="A58" t="s">
        <v>9</v>
      </c>
      <c r="B58" t="s">
        <v>50</v>
      </c>
      <c r="C58" s="8">
        <v>46027</v>
      </c>
      <c r="D58" s="9">
        <v>31595</v>
      </c>
    </row>
    <row r="59" spans="1:4">
      <c r="A59" t="s">
        <v>9</v>
      </c>
      <c r="B59" t="s">
        <v>65</v>
      </c>
      <c r="C59" s="8">
        <v>46027</v>
      </c>
      <c r="D59" s="9">
        <v>43571</v>
      </c>
    </row>
    <row r="60" spans="1:4">
      <c r="A60" t="s">
        <v>5</v>
      </c>
      <c r="B60" t="s">
        <v>115</v>
      </c>
      <c r="C60" s="8">
        <v>46027</v>
      </c>
      <c r="D60" s="9">
        <v>37674</v>
      </c>
    </row>
    <row r="61" spans="1:4">
      <c r="A61" t="s">
        <v>5</v>
      </c>
      <c r="B61" t="s">
        <v>116</v>
      </c>
      <c r="C61" s="8">
        <v>46027</v>
      </c>
      <c r="D61" s="9">
        <v>43526</v>
      </c>
    </row>
    <row r="62" spans="1:4">
      <c r="A62" t="s">
        <v>5</v>
      </c>
      <c r="B62" t="s">
        <v>117</v>
      </c>
      <c r="C62" s="8">
        <v>46027</v>
      </c>
      <c r="D62" s="9">
        <v>40517</v>
      </c>
    </row>
    <row r="63" spans="1:4">
      <c r="A63" t="s">
        <v>5</v>
      </c>
      <c r="B63" t="s">
        <v>60</v>
      </c>
      <c r="C63" s="8">
        <v>46027</v>
      </c>
      <c r="D63" s="9">
        <v>42163</v>
      </c>
    </row>
    <row r="64" spans="1:4">
      <c r="A64" t="s">
        <v>5</v>
      </c>
      <c r="B64" t="s">
        <v>118</v>
      </c>
      <c r="C64" s="8">
        <v>46027</v>
      </c>
      <c r="D64" s="9">
        <v>27940</v>
      </c>
    </row>
    <row r="65" spans="1:4">
      <c r="A65" t="s">
        <v>4</v>
      </c>
      <c r="B65" t="s">
        <v>119</v>
      </c>
      <c r="C65" s="8">
        <v>46028</v>
      </c>
      <c r="D65" s="9">
        <v>41902</v>
      </c>
    </row>
    <row r="66" spans="1:4">
      <c r="A66" t="s">
        <v>25</v>
      </c>
      <c r="B66" t="s">
        <v>120</v>
      </c>
      <c r="C66" s="8">
        <v>46028</v>
      </c>
      <c r="D66" s="9">
        <v>15169</v>
      </c>
    </row>
    <row r="67" spans="1:4">
      <c r="A67" t="s">
        <v>28</v>
      </c>
      <c r="B67" t="s">
        <v>121</v>
      </c>
      <c r="C67" s="8">
        <v>46028</v>
      </c>
      <c r="D67" s="9">
        <v>8704</v>
      </c>
    </row>
    <row r="68" spans="1:4">
      <c r="A68" t="s">
        <v>8</v>
      </c>
      <c r="B68" t="s">
        <v>122</v>
      </c>
      <c r="C68" s="8">
        <v>46028</v>
      </c>
      <c r="D68" s="9">
        <v>15646</v>
      </c>
    </row>
    <row r="69" spans="1:4">
      <c r="A69" t="s">
        <v>6</v>
      </c>
      <c r="B69" t="s">
        <v>123</v>
      </c>
      <c r="C69" s="8">
        <v>46028</v>
      </c>
      <c r="D69" s="9">
        <v>23425</v>
      </c>
    </row>
    <row r="70" spans="1:4">
      <c r="A70" t="s">
        <v>7</v>
      </c>
      <c r="B70" t="s">
        <v>54</v>
      </c>
      <c r="C70" s="8">
        <v>46028</v>
      </c>
      <c r="D70" s="9">
        <v>33963</v>
      </c>
    </row>
    <row r="71" spans="1:4">
      <c r="A71" t="s">
        <v>9</v>
      </c>
      <c r="B71" t="s">
        <v>92</v>
      </c>
      <c r="C71" s="8">
        <v>46028</v>
      </c>
      <c r="D71" s="9">
        <v>32876</v>
      </c>
    </row>
    <row r="72" spans="1:4">
      <c r="A72" t="s">
        <v>5</v>
      </c>
      <c r="B72" t="s">
        <v>115</v>
      </c>
      <c r="C72" s="8">
        <v>46028</v>
      </c>
      <c r="D72" s="9">
        <v>37684</v>
      </c>
    </row>
    <row r="73" spans="1:4">
      <c r="A73" t="s">
        <v>5</v>
      </c>
      <c r="B73" t="s">
        <v>124</v>
      </c>
      <c r="C73" s="8">
        <v>46028</v>
      </c>
      <c r="D73" s="9">
        <v>44434</v>
      </c>
    </row>
    <row r="74" spans="1:4">
      <c r="A74" t="s">
        <v>5</v>
      </c>
      <c r="B74" t="s">
        <v>104</v>
      </c>
      <c r="C74" s="8">
        <v>46028</v>
      </c>
      <c r="D74" s="9">
        <v>61437</v>
      </c>
    </row>
    <row r="75" spans="1:4">
      <c r="A75" t="s">
        <v>5</v>
      </c>
      <c r="B75" t="s">
        <v>60</v>
      </c>
      <c r="C75" s="8">
        <v>46028</v>
      </c>
      <c r="D75" s="9">
        <v>60592</v>
      </c>
    </row>
    <row r="76" spans="1:4">
      <c r="A76" t="s">
        <v>5</v>
      </c>
      <c r="B76" t="s">
        <v>118</v>
      </c>
      <c r="C76" s="8">
        <v>46028</v>
      </c>
      <c r="D76" s="9">
        <v>37307</v>
      </c>
    </row>
    <row r="77" spans="1:4">
      <c r="A77" t="s">
        <v>5</v>
      </c>
      <c r="B77" t="s">
        <v>125</v>
      </c>
      <c r="C77" s="8">
        <v>46028</v>
      </c>
      <c r="D77" s="9">
        <v>46206</v>
      </c>
    </row>
    <row r="78" spans="1:4">
      <c r="A78" t="s">
        <v>25</v>
      </c>
      <c r="B78" t="s">
        <v>126</v>
      </c>
      <c r="C78" s="8">
        <v>46029</v>
      </c>
      <c r="D78" s="9">
        <v>17415</v>
      </c>
    </row>
    <row r="79" spans="1:4">
      <c r="A79" t="s">
        <v>25</v>
      </c>
      <c r="B79" t="s">
        <v>127</v>
      </c>
      <c r="C79" s="8">
        <v>46029</v>
      </c>
      <c r="D79" s="9">
        <v>13503</v>
      </c>
    </row>
    <row r="80" spans="1:4">
      <c r="A80" t="s">
        <v>33</v>
      </c>
      <c r="B80" t="s">
        <v>128</v>
      </c>
      <c r="C80" s="8">
        <v>46029</v>
      </c>
      <c r="D80" s="9">
        <v>17676</v>
      </c>
    </row>
    <row r="81" spans="1:4">
      <c r="A81" t="s">
        <v>9</v>
      </c>
      <c r="B81" t="s">
        <v>129</v>
      </c>
      <c r="C81" s="8">
        <v>46029</v>
      </c>
      <c r="D81" s="9">
        <v>34172</v>
      </c>
    </row>
    <row r="82" spans="1:4">
      <c r="A82" t="s">
        <v>9</v>
      </c>
      <c r="B82" t="s">
        <v>130</v>
      </c>
      <c r="C82" s="8">
        <v>46029</v>
      </c>
      <c r="D82" s="9">
        <v>42553</v>
      </c>
    </row>
    <row r="83" spans="1:4">
      <c r="A83" t="s">
        <v>9</v>
      </c>
      <c r="B83" t="s">
        <v>131</v>
      </c>
      <c r="C83" s="8">
        <v>46029</v>
      </c>
      <c r="D83" s="9">
        <v>32088</v>
      </c>
    </row>
    <row r="84" spans="1:4">
      <c r="A84" t="s">
        <v>5</v>
      </c>
      <c r="B84" t="s">
        <v>132</v>
      </c>
      <c r="C84" s="8">
        <v>46029</v>
      </c>
      <c r="D84" s="9">
        <v>39367</v>
      </c>
    </row>
    <row r="85" spans="1:4">
      <c r="A85" t="s">
        <v>5</v>
      </c>
      <c r="B85" t="s">
        <v>103</v>
      </c>
      <c r="C85" s="8">
        <v>46029</v>
      </c>
      <c r="D85" s="9">
        <v>30286</v>
      </c>
    </row>
    <row r="86" spans="1:4">
      <c r="A86" t="s">
        <v>5</v>
      </c>
      <c r="B86" t="s">
        <v>94</v>
      </c>
      <c r="C86" s="8">
        <v>46029</v>
      </c>
      <c r="D86" s="9">
        <v>34976</v>
      </c>
    </row>
    <row r="87" spans="1:4">
      <c r="A87" t="s">
        <v>4</v>
      </c>
      <c r="B87" t="s">
        <v>133</v>
      </c>
      <c r="C87" s="8">
        <v>46030</v>
      </c>
      <c r="D87" s="9">
        <v>21859</v>
      </c>
    </row>
    <row r="88" spans="1:4">
      <c r="A88" t="s">
        <v>33</v>
      </c>
      <c r="B88" t="s">
        <v>134</v>
      </c>
      <c r="C88" s="8">
        <v>46030</v>
      </c>
      <c r="D88" s="9">
        <v>13698</v>
      </c>
    </row>
    <row r="89" spans="1:4">
      <c r="A89" t="s">
        <v>7</v>
      </c>
      <c r="B89" t="s">
        <v>135</v>
      </c>
      <c r="C89" s="8">
        <v>46030</v>
      </c>
      <c r="D89" s="9">
        <v>22957</v>
      </c>
    </row>
    <row r="90" spans="1:4">
      <c r="A90" t="s">
        <v>9</v>
      </c>
      <c r="B90" t="s">
        <v>136</v>
      </c>
      <c r="C90" s="8">
        <v>46030</v>
      </c>
      <c r="D90" s="9">
        <v>22616</v>
      </c>
    </row>
    <row r="91" spans="1:4">
      <c r="A91" t="s">
        <v>9</v>
      </c>
      <c r="B91" t="s">
        <v>137</v>
      </c>
      <c r="C91" s="8">
        <v>46030</v>
      </c>
      <c r="D91" s="9">
        <v>32723</v>
      </c>
    </row>
    <row r="92" spans="1:4">
      <c r="A92" t="s">
        <v>9</v>
      </c>
      <c r="B92" t="s">
        <v>57</v>
      </c>
      <c r="C92" s="8">
        <v>46030</v>
      </c>
      <c r="D92" s="9">
        <v>29083</v>
      </c>
    </row>
    <row r="93" spans="1:4">
      <c r="A93" t="s">
        <v>5</v>
      </c>
      <c r="B93" t="s">
        <v>124</v>
      </c>
      <c r="C93" s="8">
        <v>46030</v>
      </c>
      <c r="D93" s="9">
        <v>42622</v>
      </c>
    </row>
    <row r="94" spans="1:4">
      <c r="A94" t="s">
        <v>5</v>
      </c>
      <c r="B94" t="s">
        <v>138</v>
      </c>
      <c r="C94" s="8">
        <v>46030</v>
      </c>
      <c r="D94" s="9">
        <v>46656</v>
      </c>
    </row>
    <row r="95" spans="1:4">
      <c r="A95" t="s">
        <v>5</v>
      </c>
      <c r="B95" t="s">
        <v>139</v>
      </c>
      <c r="C95" s="8">
        <v>46030</v>
      </c>
      <c r="D95" s="9">
        <v>50760</v>
      </c>
    </row>
    <row r="96" spans="1:4">
      <c r="A96" t="s">
        <v>5</v>
      </c>
      <c r="B96" t="s">
        <v>140</v>
      </c>
      <c r="C96" s="8">
        <v>46030</v>
      </c>
      <c r="D96" s="9">
        <v>45881</v>
      </c>
    </row>
    <row r="97" spans="1:4">
      <c r="A97" t="s">
        <v>5</v>
      </c>
      <c r="B97" t="s">
        <v>141</v>
      </c>
      <c r="C97" s="8">
        <v>46030</v>
      </c>
      <c r="D97" s="9">
        <v>30616</v>
      </c>
    </row>
    <row r="98" spans="1:4">
      <c r="A98" t="s">
        <v>4</v>
      </c>
      <c r="B98" t="s">
        <v>138</v>
      </c>
      <c r="C98" s="8">
        <v>46031</v>
      </c>
      <c r="D98" s="9">
        <v>45500</v>
      </c>
    </row>
    <row r="99" spans="1:4">
      <c r="A99" t="s">
        <v>26</v>
      </c>
      <c r="B99" t="s">
        <v>142</v>
      </c>
      <c r="C99" s="8">
        <v>46031</v>
      </c>
      <c r="D99" s="9">
        <v>30798</v>
      </c>
    </row>
    <row r="100" spans="1:4">
      <c r="A100" t="s">
        <v>8</v>
      </c>
      <c r="B100" t="s">
        <v>143</v>
      </c>
      <c r="C100" s="8">
        <v>46031</v>
      </c>
      <c r="D100" s="9">
        <v>32537</v>
      </c>
    </row>
    <row r="101" spans="1:4">
      <c r="A101" t="s">
        <v>9</v>
      </c>
      <c r="B101" t="s">
        <v>144</v>
      </c>
      <c r="C101" s="8">
        <v>46031</v>
      </c>
      <c r="D101" s="9">
        <v>28039</v>
      </c>
    </row>
    <row r="102" spans="1:4">
      <c r="A102" t="s">
        <v>9</v>
      </c>
      <c r="B102" t="s">
        <v>145</v>
      </c>
      <c r="C102" s="8">
        <v>46031</v>
      </c>
      <c r="D102" s="9">
        <v>29424</v>
      </c>
    </row>
    <row r="103" spans="1:4">
      <c r="A103" t="s">
        <v>5</v>
      </c>
      <c r="B103" t="s">
        <v>110</v>
      </c>
      <c r="C103" s="8">
        <v>46031</v>
      </c>
      <c r="D103" s="9">
        <v>36990</v>
      </c>
    </row>
    <row r="104" spans="1:4">
      <c r="A104" t="s">
        <v>5</v>
      </c>
      <c r="B104" t="s">
        <v>103</v>
      </c>
      <c r="C104" s="8">
        <v>46031</v>
      </c>
      <c r="D104" s="9">
        <v>31048</v>
      </c>
    </row>
    <row r="105" spans="1:4">
      <c r="A105" t="s">
        <v>5</v>
      </c>
      <c r="B105" t="s">
        <v>117</v>
      </c>
      <c r="C105" s="8">
        <v>46031</v>
      </c>
      <c r="D105" s="9">
        <v>37755</v>
      </c>
    </row>
    <row r="106" spans="1:4">
      <c r="A106" t="s">
        <v>5</v>
      </c>
      <c r="B106" t="s">
        <v>146</v>
      </c>
      <c r="C106" s="8">
        <v>46031</v>
      </c>
      <c r="D106" s="9">
        <v>50455</v>
      </c>
    </row>
    <row r="107" spans="1:4">
      <c r="A107" t="s">
        <v>4</v>
      </c>
      <c r="B107" t="s">
        <v>147</v>
      </c>
      <c r="C107" s="8">
        <v>46032</v>
      </c>
      <c r="D107" s="9">
        <v>31381</v>
      </c>
    </row>
    <row r="108" spans="1:4">
      <c r="A108" t="s">
        <v>8</v>
      </c>
      <c r="B108" t="s">
        <v>148</v>
      </c>
      <c r="C108" s="8">
        <v>46032</v>
      </c>
      <c r="D108" s="9">
        <v>19022</v>
      </c>
    </row>
    <row r="109" spans="1:4">
      <c r="A109" t="s">
        <v>29</v>
      </c>
      <c r="B109" t="s">
        <v>149</v>
      </c>
      <c r="C109" s="8">
        <v>46032</v>
      </c>
      <c r="D109" s="9">
        <v>5200</v>
      </c>
    </row>
    <row r="110" spans="1:4">
      <c r="A110" t="s">
        <v>7</v>
      </c>
      <c r="B110" t="s">
        <v>75</v>
      </c>
      <c r="C110" s="8">
        <v>46032</v>
      </c>
      <c r="D110" s="9">
        <v>27291</v>
      </c>
    </row>
    <row r="111" spans="1:4">
      <c r="A111" t="s">
        <v>9</v>
      </c>
      <c r="B111" t="s">
        <v>131</v>
      </c>
      <c r="C111" s="8">
        <v>46032</v>
      </c>
      <c r="D111" s="9">
        <v>26480</v>
      </c>
    </row>
    <row r="112" spans="1:4">
      <c r="A112" t="s">
        <v>9</v>
      </c>
      <c r="B112" t="s">
        <v>150</v>
      </c>
      <c r="C112" s="8">
        <v>46032</v>
      </c>
      <c r="D112" s="9">
        <v>28237</v>
      </c>
    </row>
    <row r="113" spans="1:4">
      <c r="A113" t="s">
        <v>5</v>
      </c>
      <c r="B113" t="s">
        <v>62</v>
      </c>
      <c r="C113" s="8">
        <v>46032</v>
      </c>
      <c r="D113" s="9">
        <v>32358</v>
      </c>
    </row>
    <row r="114" spans="1:4">
      <c r="A114" t="s">
        <v>5</v>
      </c>
      <c r="B114" t="s">
        <v>138</v>
      </c>
      <c r="C114" s="8">
        <v>46032</v>
      </c>
      <c r="D114" s="9">
        <v>43385</v>
      </c>
    </row>
    <row r="115" spans="1:4">
      <c r="A115" t="s">
        <v>4</v>
      </c>
      <c r="B115" t="s">
        <v>151</v>
      </c>
      <c r="C115" s="8">
        <v>46033</v>
      </c>
      <c r="D115" s="9">
        <v>44026</v>
      </c>
    </row>
    <row r="116" spans="1:4">
      <c r="A116" t="s">
        <v>31</v>
      </c>
      <c r="B116" t="s">
        <v>152</v>
      </c>
      <c r="C116" s="8">
        <v>46033</v>
      </c>
      <c r="D116" s="9">
        <v>13405</v>
      </c>
    </row>
    <row r="117" spans="1:4">
      <c r="A117" t="s">
        <v>25</v>
      </c>
      <c r="B117" t="s">
        <v>153</v>
      </c>
      <c r="C117" s="8">
        <v>46033</v>
      </c>
      <c r="D117" s="9">
        <v>11346</v>
      </c>
    </row>
    <row r="118" spans="1:4">
      <c r="A118" t="s">
        <v>28</v>
      </c>
      <c r="B118" t="s">
        <v>154</v>
      </c>
      <c r="C118" s="8">
        <v>46033</v>
      </c>
      <c r="D118" s="9">
        <v>14479</v>
      </c>
    </row>
    <row r="119" spans="1:4">
      <c r="A119" t="s">
        <v>36</v>
      </c>
      <c r="B119" t="s">
        <v>155</v>
      </c>
      <c r="C119" s="8">
        <v>46033</v>
      </c>
      <c r="D119" s="9">
        <v>15253</v>
      </c>
    </row>
    <row r="120" spans="1:4">
      <c r="A120" t="s">
        <v>30</v>
      </c>
      <c r="B120" t="s">
        <v>156</v>
      </c>
      <c r="C120" s="8">
        <v>46033</v>
      </c>
      <c r="D120" s="9">
        <v>13001</v>
      </c>
    </row>
    <row r="121" spans="1:4">
      <c r="A121" t="s">
        <v>30</v>
      </c>
      <c r="B121" t="s">
        <v>157</v>
      </c>
      <c r="C121" s="8">
        <v>46033</v>
      </c>
      <c r="D121" s="9">
        <v>15565</v>
      </c>
    </row>
    <row r="122" spans="1:4">
      <c r="A122" t="s">
        <v>5</v>
      </c>
      <c r="B122" t="s">
        <v>93</v>
      </c>
      <c r="C122" s="8">
        <v>46033</v>
      </c>
      <c r="D122" s="9">
        <v>31639</v>
      </c>
    </row>
    <row r="123" spans="1:4">
      <c r="A123" t="s">
        <v>5</v>
      </c>
      <c r="B123" t="s">
        <v>158</v>
      </c>
      <c r="C123" s="8">
        <v>46033</v>
      </c>
      <c r="D123" s="9">
        <v>32136</v>
      </c>
    </row>
    <row r="124" spans="1:4">
      <c r="A124" t="s">
        <v>5</v>
      </c>
      <c r="B124" t="s">
        <v>159</v>
      </c>
      <c r="C124" s="8">
        <v>46033</v>
      </c>
      <c r="D124" s="9">
        <v>43656</v>
      </c>
    </row>
    <row r="125" spans="1:4">
      <c r="A125" t="s">
        <v>5</v>
      </c>
      <c r="B125" t="s">
        <v>105</v>
      </c>
      <c r="C125" s="8">
        <v>46033</v>
      </c>
      <c r="D125" s="9">
        <v>43734</v>
      </c>
    </row>
    <row r="126" spans="1:4">
      <c r="A126" t="s">
        <v>5</v>
      </c>
      <c r="B126" t="s">
        <v>125</v>
      </c>
      <c r="C126" s="8">
        <v>46033</v>
      </c>
      <c r="D126" s="9">
        <v>48703</v>
      </c>
    </row>
    <row r="127" spans="1:4">
      <c r="A127" t="s">
        <v>27</v>
      </c>
      <c r="B127" t="s">
        <v>160</v>
      </c>
      <c r="C127" s="8">
        <v>46034</v>
      </c>
      <c r="D127" s="9">
        <v>16497</v>
      </c>
    </row>
    <row r="128" spans="1:4">
      <c r="A128" t="s">
        <v>4</v>
      </c>
      <c r="B128" t="s">
        <v>161</v>
      </c>
      <c r="C128" s="8">
        <v>46034</v>
      </c>
      <c r="D128" s="9">
        <v>11732</v>
      </c>
    </row>
    <row r="129" spans="1:4">
      <c r="A129" t="s">
        <v>25</v>
      </c>
      <c r="B129" t="s">
        <v>162</v>
      </c>
      <c r="C129" s="8">
        <v>46034</v>
      </c>
      <c r="D129" s="9">
        <v>21671</v>
      </c>
    </row>
    <row r="130" spans="1:4">
      <c r="A130" t="s">
        <v>8</v>
      </c>
      <c r="B130" t="s">
        <v>163</v>
      </c>
      <c r="C130" s="8">
        <v>46034</v>
      </c>
      <c r="D130" s="9">
        <v>7501</v>
      </c>
    </row>
    <row r="131" spans="1:4">
      <c r="A131" t="s">
        <v>6</v>
      </c>
      <c r="B131" t="s">
        <v>164</v>
      </c>
      <c r="C131" s="8">
        <v>46034</v>
      </c>
      <c r="D131" s="9">
        <v>28245</v>
      </c>
    </row>
    <row r="132" spans="1:4">
      <c r="A132" t="s">
        <v>29</v>
      </c>
      <c r="B132" t="s">
        <v>165</v>
      </c>
      <c r="C132" s="8">
        <v>46034</v>
      </c>
      <c r="D132" s="9">
        <v>15023</v>
      </c>
    </row>
    <row r="133" spans="1:4">
      <c r="A133" t="s">
        <v>7</v>
      </c>
      <c r="B133" t="s">
        <v>47</v>
      </c>
      <c r="C133" s="8">
        <v>46034</v>
      </c>
      <c r="D133" s="9">
        <v>8706</v>
      </c>
    </row>
    <row r="134" spans="1:4">
      <c r="A134" t="s">
        <v>9</v>
      </c>
      <c r="B134" t="s">
        <v>50</v>
      </c>
      <c r="C134" s="8">
        <v>46034</v>
      </c>
      <c r="D134" s="9">
        <v>30318</v>
      </c>
    </row>
    <row r="135" spans="1:4">
      <c r="A135" t="s">
        <v>9</v>
      </c>
      <c r="B135" t="s">
        <v>136</v>
      </c>
      <c r="C135" s="8">
        <v>46034</v>
      </c>
      <c r="D135" s="9">
        <v>33141</v>
      </c>
    </row>
    <row r="136" spans="1:4">
      <c r="A136" t="s">
        <v>9</v>
      </c>
      <c r="B136" t="s">
        <v>57</v>
      </c>
      <c r="C136" s="8">
        <v>46034</v>
      </c>
      <c r="D136" s="9">
        <v>20155</v>
      </c>
    </row>
    <row r="137" spans="1:4">
      <c r="A137" t="s">
        <v>9</v>
      </c>
      <c r="B137" t="s">
        <v>166</v>
      </c>
      <c r="C137" s="8">
        <v>46034</v>
      </c>
      <c r="D137" s="9">
        <v>45290</v>
      </c>
    </row>
    <row r="138" spans="1:4">
      <c r="A138" t="s">
        <v>5</v>
      </c>
      <c r="B138" t="s">
        <v>94</v>
      </c>
      <c r="C138" s="8">
        <v>46034</v>
      </c>
      <c r="D138" s="9">
        <v>47349</v>
      </c>
    </row>
    <row r="139" spans="1:4">
      <c r="A139" t="s">
        <v>5</v>
      </c>
      <c r="B139" t="s">
        <v>167</v>
      </c>
      <c r="C139" s="8">
        <v>46034</v>
      </c>
      <c r="D139" s="9">
        <v>49704</v>
      </c>
    </row>
    <row r="140" spans="1:4">
      <c r="A140" t="s">
        <v>5</v>
      </c>
      <c r="B140" t="s">
        <v>168</v>
      </c>
      <c r="C140" s="8">
        <v>46034</v>
      </c>
      <c r="D140" s="9">
        <v>38028</v>
      </c>
    </row>
    <row r="141" spans="1:4">
      <c r="A141" t="s">
        <v>5</v>
      </c>
      <c r="B141" t="s">
        <v>140</v>
      </c>
      <c r="C141" s="8">
        <v>46034</v>
      </c>
      <c r="D141" s="9">
        <v>36376</v>
      </c>
    </row>
    <row r="142" spans="1:4">
      <c r="A142" t="s">
        <v>25</v>
      </c>
      <c r="B142" t="s">
        <v>169</v>
      </c>
      <c r="C142" s="8">
        <v>46035</v>
      </c>
      <c r="D142" s="9">
        <v>35642</v>
      </c>
    </row>
    <row r="143" spans="1:4">
      <c r="A143" t="s">
        <v>8</v>
      </c>
      <c r="B143" t="s">
        <v>170</v>
      </c>
      <c r="C143" s="8">
        <v>46035</v>
      </c>
      <c r="D143" s="9">
        <v>21872</v>
      </c>
    </row>
    <row r="144" spans="1:4">
      <c r="A144" t="s">
        <v>8</v>
      </c>
      <c r="B144" t="s">
        <v>66</v>
      </c>
      <c r="C144" s="8">
        <v>46035</v>
      </c>
      <c r="D144" s="9">
        <v>18868</v>
      </c>
    </row>
    <row r="145" spans="1:4">
      <c r="A145" t="s">
        <v>7</v>
      </c>
      <c r="B145" t="s">
        <v>171</v>
      </c>
      <c r="C145" s="8">
        <v>46035</v>
      </c>
      <c r="D145" s="9">
        <v>22746</v>
      </c>
    </row>
    <row r="146" spans="1:4">
      <c r="A146" t="s">
        <v>7</v>
      </c>
      <c r="B146" t="s">
        <v>113</v>
      </c>
      <c r="C146" s="8">
        <v>46035</v>
      </c>
      <c r="D146" s="9">
        <v>29444</v>
      </c>
    </row>
    <row r="147" spans="1:4">
      <c r="A147" t="s">
        <v>9</v>
      </c>
      <c r="B147" t="s">
        <v>172</v>
      </c>
      <c r="C147" s="8">
        <v>46035</v>
      </c>
      <c r="D147" s="9">
        <v>31318</v>
      </c>
    </row>
    <row r="148" spans="1:4">
      <c r="A148" t="s">
        <v>9</v>
      </c>
      <c r="B148" t="s">
        <v>173</v>
      </c>
      <c r="C148" s="8">
        <v>46035</v>
      </c>
      <c r="D148" s="9">
        <v>15869</v>
      </c>
    </row>
    <row r="149" spans="1:4">
      <c r="A149" t="s">
        <v>5</v>
      </c>
      <c r="B149" t="s">
        <v>174</v>
      </c>
      <c r="C149" s="8">
        <v>46035</v>
      </c>
      <c r="D149" s="9">
        <v>50491</v>
      </c>
    </row>
    <row r="150" spans="1:4">
      <c r="A150" t="s">
        <v>5</v>
      </c>
      <c r="B150" t="s">
        <v>174</v>
      </c>
      <c r="C150" s="8">
        <v>46035</v>
      </c>
      <c r="D150" s="9">
        <v>32718</v>
      </c>
    </row>
    <row r="151" spans="1:4">
      <c r="A151" t="s">
        <v>25</v>
      </c>
      <c r="B151" t="s">
        <v>175</v>
      </c>
      <c r="C151" s="8">
        <v>46036</v>
      </c>
      <c r="D151" s="9">
        <v>18184</v>
      </c>
    </row>
    <row r="152" spans="1:4">
      <c r="A152" t="s">
        <v>6</v>
      </c>
      <c r="B152" t="s">
        <v>176</v>
      </c>
      <c r="C152" s="8">
        <v>46036</v>
      </c>
      <c r="D152" s="9">
        <v>24889</v>
      </c>
    </row>
    <row r="153" spans="1:4">
      <c r="A153" t="s">
        <v>6</v>
      </c>
      <c r="B153" t="s">
        <v>177</v>
      </c>
      <c r="C153" s="8">
        <v>46036</v>
      </c>
      <c r="D153" s="9">
        <v>22097</v>
      </c>
    </row>
    <row r="154" spans="1:4">
      <c r="A154" t="s">
        <v>9</v>
      </c>
      <c r="B154" t="s">
        <v>145</v>
      </c>
      <c r="C154" s="8">
        <v>46036</v>
      </c>
      <c r="D154" s="9">
        <v>20178</v>
      </c>
    </row>
    <row r="155" spans="1:4">
      <c r="A155" t="s">
        <v>9</v>
      </c>
      <c r="B155" t="s">
        <v>178</v>
      </c>
      <c r="C155" s="8">
        <v>46036</v>
      </c>
      <c r="D155" s="9">
        <v>53509</v>
      </c>
    </row>
    <row r="156" spans="1:4">
      <c r="A156" t="s">
        <v>5</v>
      </c>
      <c r="B156" t="s">
        <v>158</v>
      </c>
      <c r="C156" s="8">
        <v>46036</v>
      </c>
      <c r="D156" s="9">
        <v>29017</v>
      </c>
    </row>
    <row r="157" spans="1:4">
      <c r="A157" t="s">
        <v>5</v>
      </c>
      <c r="B157" t="s">
        <v>81</v>
      </c>
      <c r="C157" s="8">
        <v>46036</v>
      </c>
      <c r="D157" s="9">
        <v>42061</v>
      </c>
    </row>
    <row r="158" spans="1:4">
      <c r="A158" t="s">
        <v>35</v>
      </c>
      <c r="B158" t="s">
        <v>58</v>
      </c>
      <c r="C158" s="8">
        <v>46037</v>
      </c>
      <c r="D158" s="9">
        <v>12933</v>
      </c>
    </row>
    <row r="159" spans="1:4">
      <c r="A159" t="s">
        <v>4</v>
      </c>
      <c r="B159" t="s">
        <v>139</v>
      </c>
      <c r="C159" s="8">
        <v>46037</v>
      </c>
      <c r="D159" s="9">
        <v>47253</v>
      </c>
    </row>
    <row r="160" spans="1:4">
      <c r="A160" t="s">
        <v>26</v>
      </c>
      <c r="B160" t="s">
        <v>179</v>
      </c>
      <c r="C160" s="8">
        <v>46037</v>
      </c>
      <c r="D160" s="9">
        <v>17150</v>
      </c>
    </row>
    <row r="161" spans="1:4">
      <c r="A161" t="s">
        <v>6</v>
      </c>
      <c r="B161" t="s">
        <v>180</v>
      </c>
      <c r="C161" s="8">
        <v>46037</v>
      </c>
      <c r="D161" s="9">
        <v>27245</v>
      </c>
    </row>
    <row r="162" spans="1:4">
      <c r="A162" t="s">
        <v>9</v>
      </c>
      <c r="B162" t="s">
        <v>144</v>
      </c>
      <c r="C162" s="8">
        <v>46037</v>
      </c>
      <c r="D162" s="9">
        <v>26927</v>
      </c>
    </row>
    <row r="163" spans="1:4">
      <c r="A163" t="s">
        <v>9</v>
      </c>
      <c r="B163" t="s">
        <v>48</v>
      </c>
      <c r="C163" s="8">
        <v>46037</v>
      </c>
      <c r="D163" s="9">
        <v>35772</v>
      </c>
    </row>
    <row r="164" spans="1:4">
      <c r="A164" t="s">
        <v>5</v>
      </c>
      <c r="B164" t="s">
        <v>115</v>
      </c>
      <c r="C164" s="8">
        <v>46037</v>
      </c>
      <c r="D164" s="9">
        <v>24908</v>
      </c>
    </row>
    <row r="165" spans="1:4">
      <c r="A165" t="s">
        <v>5</v>
      </c>
      <c r="B165" t="s">
        <v>181</v>
      </c>
      <c r="C165" s="8">
        <v>46037</v>
      </c>
      <c r="D165" s="9">
        <v>24460</v>
      </c>
    </row>
    <row r="166" spans="1:4">
      <c r="A166" t="s">
        <v>5</v>
      </c>
      <c r="B166" t="s">
        <v>182</v>
      </c>
      <c r="C166" s="8">
        <v>46037</v>
      </c>
      <c r="D166" s="9">
        <v>46735</v>
      </c>
    </row>
    <row r="167" spans="1:4">
      <c r="A167" t="s">
        <v>5</v>
      </c>
      <c r="B167" t="s">
        <v>158</v>
      </c>
      <c r="C167" s="8">
        <v>46037</v>
      </c>
      <c r="D167" s="9">
        <v>31258</v>
      </c>
    </row>
    <row r="168" spans="1:4">
      <c r="A168" t="s">
        <v>5</v>
      </c>
      <c r="B168" t="s">
        <v>117</v>
      </c>
      <c r="C168" s="8">
        <v>46037</v>
      </c>
      <c r="D168" s="9">
        <v>30586</v>
      </c>
    </row>
    <row r="169" spans="1:4">
      <c r="A169" t="s">
        <v>5</v>
      </c>
      <c r="B169" t="s">
        <v>117</v>
      </c>
      <c r="C169" s="8">
        <v>46037</v>
      </c>
      <c r="D169" s="9">
        <v>45277</v>
      </c>
    </row>
    <row r="170" spans="1:4">
      <c r="A170" t="s">
        <v>5</v>
      </c>
      <c r="B170" t="s">
        <v>183</v>
      </c>
      <c r="C170" s="8">
        <v>46037</v>
      </c>
      <c r="D170" s="9">
        <v>42668</v>
      </c>
    </row>
    <row r="171" spans="1:4">
      <c r="A171" t="s">
        <v>4</v>
      </c>
      <c r="B171" t="s">
        <v>184</v>
      </c>
      <c r="C171" s="8">
        <v>46038</v>
      </c>
      <c r="D171" s="9">
        <v>28487</v>
      </c>
    </row>
    <row r="172" spans="1:4">
      <c r="A172" t="s">
        <v>4</v>
      </c>
      <c r="B172" t="s">
        <v>185</v>
      </c>
      <c r="C172" s="8">
        <v>46038</v>
      </c>
      <c r="D172" s="9">
        <v>30381</v>
      </c>
    </row>
    <row r="173" spans="1:4">
      <c r="A173" t="s">
        <v>6</v>
      </c>
      <c r="B173" t="s">
        <v>186</v>
      </c>
      <c r="C173" s="8">
        <v>46038</v>
      </c>
      <c r="D173" s="9">
        <v>18252</v>
      </c>
    </row>
    <row r="174" spans="1:4">
      <c r="A174" t="s">
        <v>9</v>
      </c>
      <c r="B174" t="s">
        <v>187</v>
      </c>
      <c r="C174" s="8">
        <v>46038</v>
      </c>
      <c r="D174" s="9">
        <v>45249</v>
      </c>
    </row>
    <row r="175" spans="1:4">
      <c r="A175" t="s">
        <v>9</v>
      </c>
      <c r="B175" t="s">
        <v>188</v>
      </c>
      <c r="C175" s="8">
        <v>46038</v>
      </c>
      <c r="D175" s="9">
        <v>54905</v>
      </c>
    </row>
    <row r="176" spans="1:4">
      <c r="A176" t="s">
        <v>5</v>
      </c>
      <c r="B176" t="s">
        <v>189</v>
      </c>
      <c r="C176" s="8">
        <v>46038</v>
      </c>
      <c r="D176" s="9">
        <v>22111</v>
      </c>
    </row>
    <row r="177" spans="1:4">
      <c r="A177" t="s">
        <v>5</v>
      </c>
      <c r="B177" t="s">
        <v>103</v>
      </c>
      <c r="C177" s="8">
        <v>46038</v>
      </c>
      <c r="D177" s="9">
        <v>48395</v>
      </c>
    </row>
    <row r="178" spans="1:4">
      <c r="A178" t="s">
        <v>5</v>
      </c>
      <c r="B178" t="s">
        <v>190</v>
      </c>
      <c r="C178" s="8">
        <v>46038</v>
      </c>
      <c r="D178" s="9">
        <v>28644</v>
      </c>
    </row>
    <row r="179" spans="1:4">
      <c r="A179" t="s">
        <v>5</v>
      </c>
      <c r="B179" t="s">
        <v>191</v>
      </c>
      <c r="C179" s="8">
        <v>46038</v>
      </c>
      <c r="D179" s="9">
        <v>29924</v>
      </c>
    </row>
    <row r="180" spans="1:4">
      <c r="A180" t="s">
        <v>5</v>
      </c>
      <c r="B180" t="s">
        <v>168</v>
      </c>
      <c r="C180" s="8">
        <v>46038</v>
      </c>
      <c r="D180" s="9">
        <v>46557</v>
      </c>
    </row>
    <row r="181" spans="1:4">
      <c r="A181" t="s">
        <v>4</v>
      </c>
      <c r="B181" t="s">
        <v>192</v>
      </c>
      <c r="C181" s="8">
        <v>46039</v>
      </c>
      <c r="D181" s="9">
        <v>11372</v>
      </c>
    </row>
    <row r="182" spans="1:4">
      <c r="A182" t="s">
        <v>4</v>
      </c>
      <c r="B182" t="s">
        <v>193</v>
      </c>
      <c r="C182" s="8">
        <v>46039</v>
      </c>
      <c r="D182" s="9">
        <v>39134</v>
      </c>
    </row>
    <row r="183" spans="1:4">
      <c r="A183" t="s">
        <v>8</v>
      </c>
      <c r="B183" t="s">
        <v>194</v>
      </c>
      <c r="C183" s="8">
        <v>46039</v>
      </c>
      <c r="D183" s="9">
        <v>16656</v>
      </c>
    </row>
    <row r="184" spans="1:4">
      <c r="A184" t="s">
        <v>9</v>
      </c>
      <c r="B184" t="s">
        <v>195</v>
      </c>
      <c r="C184" s="8">
        <v>46039</v>
      </c>
      <c r="D184" s="9">
        <v>35873</v>
      </c>
    </row>
    <row r="185" spans="1:4">
      <c r="A185" t="s">
        <v>5</v>
      </c>
      <c r="B185" t="s">
        <v>196</v>
      </c>
      <c r="C185" s="8">
        <v>46039</v>
      </c>
      <c r="D185" s="9">
        <v>30431</v>
      </c>
    </row>
    <row r="186" spans="1:4">
      <c r="A186" t="s">
        <v>5</v>
      </c>
      <c r="B186" t="s">
        <v>197</v>
      </c>
      <c r="C186" s="8">
        <v>46039</v>
      </c>
      <c r="D186" s="9">
        <v>40775</v>
      </c>
    </row>
    <row r="187" spans="1:4">
      <c r="A187" t="s">
        <v>5</v>
      </c>
      <c r="B187" t="s">
        <v>118</v>
      </c>
      <c r="C187" s="8">
        <v>46039</v>
      </c>
      <c r="D187" s="9">
        <v>36020</v>
      </c>
    </row>
    <row r="188" spans="1:4">
      <c r="A188" t="s">
        <v>5</v>
      </c>
      <c r="B188" t="s">
        <v>146</v>
      </c>
      <c r="C188" s="8">
        <v>46039</v>
      </c>
      <c r="D188" s="9">
        <v>48006</v>
      </c>
    </row>
    <row r="189" spans="1:4">
      <c r="A189" t="s">
        <v>4</v>
      </c>
      <c r="B189" t="s">
        <v>198</v>
      </c>
      <c r="C189" s="8">
        <v>46040</v>
      </c>
      <c r="D189" s="9">
        <v>35154</v>
      </c>
    </row>
    <row r="190" spans="1:4">
      <c r="A190" t="s">
        <v>26</v>
      </c>
      <c r="B190" t="s">
        <v>67</v>
      </c>
      <c r="C190" s="8">
        <v>46040</v>
      </c>
      <c r="D190" s="9">
        <v>15830</v>
      </c>
    </row>
    <row r="191" spans="1:4">
      <c r="A191" t="s">
        <v>8</v>
      </c>
      <c r="B191" t="s">
        <v>199</v>
      </c>
      <c r="C191" s="8">
        <v>46040</v>
      </c>
      <c r="D191" s="9">
        <v>19907</v>
      </c>
    </row>
    <row r="192" spans="1:4">
      <c r="A192" t="s">
        <v>6</v>
      </c>
      <c r="B192" t="s">
        <v>200</v>
      </c>
      <c r="C192" s="8">
        <v>46040</v>
      </c>
      <c r="D192" s="9">
        <v>7291</v>
      </c>
    </row>
    <row r="193" spans="1:4">
      <c r="A193" t="s">
        <v>5</v>
      </c>
      <c r="B193" t="s">
        <v>201</v>
      </c>
      <c r="C193" s="8">
        <v>46040</v>
      </c>
      <c r="D193" s="9">
        <v>35221</v>
      </c>
    </row>
    <row r="194" spans="1:4">
      <c r="A194" t="s">
        <v>5</v>
      </c>
      <c r="B194" t="s">
        <v>202</v>
      </c>
      <c r="C194" s="8">
        <v>46040</v>
      </c>
      <c r="D194" s="9">
        <v>37917</v>
      </c>
    </row>
    <row r="195" spans="1:4">
      <c r="A195" t="s">
        <v>6</v>
      </c>
      <c r="B195" t="s">
        <v>203</v>
      </c>
      <c r="C195" s="8">
        <v>46041</v>
      </c>
      <c r="D195" s="9">
        <v>23913</v>
      </c>
    </row>
    <row r="196" spans="1:4">
      <c r="A196" t="s">
        <v>7</v>
      </c>
      <c r="B196" t="s">
        <v>204</v>
      </c>
      <c r="C196" s="8">
        <v>46041</v>
      </c>
      <c r="D196" s="9">
        <v>26021</v>
      </c>
    </row>
    <row r="197" spans="1:4">
      <c r="A197" t="s">
        <v>5</v>
      </c>
      <c r="B197" t="s">
        <v>168</v>
      </c>
      <c r="C197" s="8">
        <v>46041</v>
      </c>
      <c r="D197" s="9">
        <v>33915</v>
      </c>
    </row>
    <row r="198" spans="1:4">
      <c r="A198" t="s">
        <v>5</v>
      </c>
      <c r="B198" t="s">
        <v>140</v>
      </c>
      <c r="C198" s="8">
        <v>46041</v>
      </c>
      <c r="D198" s="9">
        <v>40505</v>
      </c>
    </row>
    <row r="199" spans="1:4">
      <c r="A199" t="s">
        <v>5</v>
      </c>
      <c r="B199" t="s">
        <v>105</v>
      </c>
      <c r="C199" s="8">
        <v>46041</v>
      </c>
      <c r="D199" s="9">
        <v>47183</v>
      </c>
    </row>
    <row r="200" spans="1:4">
      <c r="A200" t="s">
        <v>5</v>
      </c>
      <c r="B200" t="s">
        <v>205</v>
      </c>
      <c r="C200" s="8">
        <v>46041</v>
      </c>
      <c r="D200" s="9">
        <v>41696</v>
      </c>
    </row>
    <row r="201" spans="1:4">
      <c r="A201" t="s">
        <v>4</v>
      </c>
      <c r="B201" t="s">
        <v>206</v>
      </c>
      <c r="C201" s="8">
        <v>46042</v>
      </c>
      <c r="D201" s="9">
        <v>52501</v>
      </c>
    </row>
    <row r="202" spans="1:4">
      <c r="A202" t="s">
        <v>30</v>
      </c>
      <c r="B202" t="s">
        <v>207</v>
      </c>
      <c r="C202" s="8">
        <v>46042</v>
      </c>
      <c r="D202" s="9">
        <v>12644</v>
      </c>
    </row>
    <row r="203" spans="1:4">
      <c r="A203" t="s">
        <v>9</v>
      </c>
      <c r="B203" t="s">
        <v>208</v>
      </c>
      <c r="C203" s="8">
        <v>46042</v>
      </c>
      <c r="D203" s="9">
        <v>33160</v>
      </c>
    </row>
    <row r="204" spans="1:4">
      <c r="A204" t="s">
        <v>9</v>
      </c>
      <c r="B204" t="s">
        <v>91</v>
      </c>
      <c r="C204" s="8">
        <v>46042</v>
      </c>
      <c r="D204" s="9">
        <v>35050</v>
      </c>
    </row>
    <row r="205" spans="1:4">
      <c r="A205" t="s">
        <v>9</v>
      </c>
      <c r="B205" t="s">
        <v>130</v>
      </c>
      <c r="C205" s="8">
        <v>46042</v>
      </c>
      <c r="D205" s="9">
        <v>37309</v>
      </c>
    </row>
    <row r="206" spans="1:4">
      <c r="A206" t="s">
        <v>5</v>
      </c>
      <c r="B206" t="s">
        <v>62</v>
      </c>
      <c r="C206" s="8">
        <v>46042</v>
      </c>
      <c r="D206" s="9">
        <v>32843</v>
      </c>
    </row>
    <row r="207" spans="1:4">
      <c r="A207" t="s">
        <v>5</v>
      </c>
      <c r="B207" t="s">
        <v>209</v>
      </c>
      <c r="C207" s="8">
        <v>46042</v>
      </c>
      <c r="D207" s="9">
        <v>34726</v>
      </c>
    </row>
    <row r="208" spans="1:4">
      <c r="A208" t="s">
        <v>35</v>
      </c>
      <c r="B208" t="s">
        <v>210</v>
      </c>
      <c r="C208" s="8">
        <v>46043</v>
      </c>
      <c r="D208" s="9">
        <v>5200</v>
      </c>
    </row>
    <row r="209" spans="1:4">
      <c r="A209" t="s">
        <v>27</v>
      </c>
      <c r="B209" t="s">
        <v>211</v>
      </c>
      <c r="C209" s="8">
        <v>46043</v>
      </c>
      <c r="D209" s="9">
        <v>20753</v>
      </c>
    </row>
    <row r="210" spans="1:4">
      <c r="A210" t="s">
        <v>4</v>
      </c>
      <c r="B210" t="s">
        <v>212</v>
      </c>
      <c r="C210" s="8">
        <v>46043</v>
      </c>
      <c r="D210" s="9">
        <v>35157</v>
      </c>
    </row>
    <row r="211" spans="1:4">
      <c r="A211" t="s">
        <v>4</v>
      </c>
      <c r="B211" t="s">
        <v>213</v>
      </c>
      <c r="C211" s="8">
        <v>46043</v>
      </c>
      <c r="D211" s="9">
        <v>33854</v>
      </c>
    </row>
    <row r="212" spans="1:4">
      <c r="A212" t="s">
        <v>4</v>
      </c>
      <c r="B212" t="s">
        <v>214</v>
      </c>
      <c r="C212" s="8">
        <v>46043</v>
      </c>
      <c r="D212" s="9">
        <v>48555</v>
      </c>
    </row>
    <row r="213" spans="1:4">
      <c r="A213" t="s">
        <v>34</v>
      </c>
      <c r="B213" t="s">
        <v>215</v>
      </c>
      <c r="C213" s="8">
        <v>46043</v>
      </c>
      <c r="D213" s="9">
        <v>10933</v>
      </c>
    </row>
    <row r="214" spans="1:4">
      <c r="A214" t="s">
        <v>6</v>
      </c>
      <c r="B214" t="s">
        <v>216</v>
      </c>
      <c r="C214" s="8">
        <v>46043</v>
      </c>
      <c r="D214" s="9">
        <v>34036</v>
      </c>
    </row>
    <row r="215" spans="1:4">
      <c r="A215" t="s">
        <v>6</v>
      </c>
      <c r="B215" t="s">
        <v>217</v>
      </c>
      <c r="C215" s="8">
        <v>46043</v>
      </c>
      <c r="D215" s="9">
        <v>23957</v>
      </c>
    </row>
    <row r="216" spans="1:4">
      <c r="A216" t="s">
        <v>29</v>
      </c>
      <c r="B216" t="s">
        <v>64</v>
      </c>
      <c r="C216" s="8">
        <v>46043</v>
      </c>
      <c r="D216" s="9">
        <v>11790</v>
      </c>
    </row>
    <row r="217" spans="1:4">
      <c r="A217" t="s">
        <v>29</v>
      </c>
      <c r="B217" t="s">
        <v>218</v>
      </c>
      <c r="C217" s="8">
        <v>46043</v>
      </c>
      <c r="D217" s="9">
        <v>14566</v>
      </c>
    </row>
    <row r="218" spans="1:4">
      <c r="A218" t="s">
        <v>7</v>
      </c>
      <c r="B218" t="s">
        <v>219</v>
      </c>
      <c r="C218" s="8">
        <v>46043</v>
      </c>
      <c r="D218" s="9">
        <v>17482</v>
      </c>
    </row>
    <row r="219" spans="1:4">
      <c r="A219" t="s">
        <v>9</v>
      </c>
      <c r="B219" t="s">
        <v>91</v>
      </c>
      <c r="C219" s="8">
        <v>46043</v>
      </c>
      <c r="D219" s="9">
        <v>46646</v>
      </c>
    </row>
    <row r="220" spans="1:4">
      <c r="A220" t="s">
        <v>5</v>
      </c>
      <c r="B220" t="s">
        <v>209</v>
      </c>
      <c r="C220" s="8">
        <v>46043</v>
      </c>
      <c r="D220" s="9">
        <v>43079</v>
      </c>
    </row>
    <row r="221" spans="1:4">
      <c r="A221" t="s">
        <v>5</v>
      </c>
      <c r="B221" t="s">
        <v>103</v>
      </c>
      <c r="C221" s="8">
        <v>46043</v>
      </c>
      <c r="D221" s="9">
        <v>30255</v>
      </c>
    </row>
    <row r="222" spans="1:4">
      <c r="A222" t="s">
        <v>5</v>
      </c>
      <c r="B222" t="s">
        <v>167</v>
      </c>
      <c r="C222" s="8">
        <v>46043</v>
      </c>
      <c r="D222" s="9">
        <v>39355</v>
      </c>
    </row>
    <row r="223" spans="1:4">
      <c r="A223" t="s">
        <v>5</v>
      </c>
      <c r="B223" t="s">
        <v>183</v>
      </c>
      <c r="C223" s="8">
        <v>46043</v>
      </c>
      <c r="D223" s="9">
        <v>34558</v>
      </c>
    </row>
    <row r="224" spans="1:4">
      <c r="A224" t="s">
        <v>5</v>
      </c>
      <c r="B224" t="s">
        <v>141</v>
      </c>
      <c r="C224" s="8">
        <v>46043</v>
      </c>
      <c r="D224" s="9">
        <v>37514</v>
      </c>
    </row>
    <row r="225" spans="1:4">
      <c r="A225" t="s">
        <v>4</v>
      </c>
      <c r="B225" t="s">
        <v>220</v>
      </c>
      <c r="C225" s="8">
        <v>46044</v>
      </c>
      <c r="D225" s="9">
        <v>23748</v>
      </c>
    </row>
    <row r="226" spans="1:4">
      <c r="A226" t="s">
        <v>4</v>
      </c>
      <c r="B226" t="s">
        <v>221</v>
      </c>
      <c r="C226" s="8">
        <v>46044</v>
      </c>
      <c r="D226" s="9">
        <v>48482</v>
      </c>
    </row>
    <row r="227" spans="1:4">
      <c r="A227" t="s">
        <v>4</v>
      </c>
      <c r="B227" t="s">
        <v>61</v>
      </c>
      <c r="C227" s="8">
        <v>46044</v>
      </c>
      <c r="D227" s="9">
        <v>36595</v>
      </c>
    </row>
    <row r="228" spans="1:4">
      <c r="A228" t="s">
        <v>25</v>
      </c>
      <c r="B228" t="s">
        <v>63</v>
      </c>
      <c r="C228" s="8">
        <v>46044</v>
      </c>
      <c r="D228" s="9">
        <v>18175</v>
      </c>
    </row>
    <row r="229" spans="1:4">
      <c r="A229" t="s">
        <v>28</v>
      </c>
      <c r="B229" t="s">
        <v>222</v>
      </c>
      <c r="C229" s="8">
        <v>46044</v>
      </c>
      <c r="D229" s="9">
        <v>13627</v>
      </c>
    </row>
    <row r="230" spans="1:4">
      <c r="A230" t="s">
        <v>26</v>
      </c>
      <c r="B230" t="s">
        <v>223</v>
      </c>
      <c r="C230" s="8">
        <v>46044</v>
      </c>
      <c r="D230" s="9">
        <v>5778</v>
      </c>
    </row>
    <row r="231" spans="1:4">
      <c r="A231" t="s">
        <v>32</v>
      </c>
      <c r="B231" t="s">
        <v>224</v>
      </c>
      <c r="C231" s="8">
        <v>46044</v>
      </c>
      <c r="D231" s="9">
        <v>14340</v>
      </c>
    </row>
    <row r="232" spans="1:4">
      <c r="A232" t="s">
        <v>34</v>
      </c>
      <c r="B232" t="s">
        <v>225</v>
      </c>
      <c r="C232" s="8">
        <v>46044</v>
      </c>
      <c r="D232" s="9">
        <v>12072</v>
      </c>
    </row>
    <row r="233" spans="1:4">
      <c r="A233" t="s">
        <v>29</v>
      </c>
      <c r="B233" t="s">
        <v>226</v>
      </c>
      <c r="C233" s="8">
        <v>46044</v>
      </c>
      <c r="D233" s="9">
        <v>14664</v>
      </c>
    </row>
    <row r="234" spans="1:4">
      <c r="A234" t="s">
        <v>9</v>
      </c>
      <c r="B234" t="s">
        <v>227</v>
      </c>
      <c r="C234" s="8">
        <v>46044</v>
      </c>
      <c r="D234" s="9">
        <v>35093</v>
      </c>
    </row>
    <row r="235" spans="1:4">
      <c r="A235" t="s">
        <v>9</v>
      </c>
      <c r="B235" t="s">
        <v>228</v>
      </c>
      <c r="C235" s="8">
        <v>46044</v>
      </c>
      <c r="D235" s="9">
        <v>45226</v>
      </c>
    </row>
    <row r="236" spans="1:4">
      <c r="A236" t="s">
        <v>9</v>
      </c>
      <c r="B236" t="s">
        <v>51</v>
      </c>
      <c r="C236" s="8">
        <v>46044</v>
      </c>
      <c r="D236" s="9">
        <v>51271</v>
      </c>
    </row>
    <row r="237" spans="1:4">
      <c r="A237" t="s">
        <v>9</v>
      </c>
      <c r="B237" t="s">
        <v>137</v>
      </c>
      <c r="C237" s="8">
        <v>46044</v>
      </c>
      <c r="D237" s="9">
        <v>25216</v>
      </c>
    </row>
    <row r="238" spans="1:4">
      <c r="A238" t="s">
        <v>5</v>
      </c>
      <c r="B238" t="s">
        <v>115</v>
      </c>
      <c r="C238" s="8">
        <v>46044</v>
      </c>
      <c r="D238" s="9">
        <v>39963</v>
      </c>
    </row>
    <row r="239" spans="1:4">
      <c r="A239" t="s">
        <v>5</v>
      </c>
      <c r="B239" t="s">
        <v>115</v>
      </c>
      <c r="C239" s="8">
        <v>46044</v>
      </c>
      <c r="D239" s="9">
        <v>30725</v>
      </c>
    </row>
    <row r="240" spans="1:4">
      <c r="A240" t="s">
        <v>5</v>
      </c>
      <c r="B240" t="s">
        <v>184</v>
      </c>
      <c r="C240" s="8">
        <v>46044</v>
      </c>
      <c r="D240" s="9">
        <v>42277</v>
      </c>
    </row>
    <row r="241" spans="1:4">
      <c r="A241" t="s">
        <v>5</v>
      </c>
      <c r="B241" t="s">
        <v>93</v>
      </c>
      <c r="C241" s="8">
        <v>46044</v>
      </c>
      <c r="D241" s="9">
        <v>40048</v>
      </c>
    </row>
    <row r="242" spans="1:4">
      <c r="A242" t="s">
        <v>5</v>
      </c>
      <c r="B242" t="s">
        <v>62</v>
      </c>
      <c r="C242" s="8">
        <v>46044</v>
      </c>
      <c r="D242" s="9">
        <v>36898</v>
      </c>
    </row>
    <row r="243" spans="1:4">
      <c r="A243" t="s">
        <v>5</v>
      </c>
      <c r="B243" t="s">
        <v>183</v>
      </c>
      <c r="C243" s="8">
        <v>46044</v>
      </c>
      <c r="D243" s="9">
        <v>42431</v>
      </c>
    </row>
    <row r="244" spans="1:4">
      <c r="A244" t="s">
        <v>4</v>
      </c>
      <c r="B244" t="s">
        <v>229</v>
      </c>
      <c r="C244" s="8">
        <v>46045</v>
      </c>
      <c r="D244" s="9">
        <v>44121</v>
      </c>
    </row>
    <row r="245" spans="1:4">
      <c r="A245" t="s">
        <v>4</v>
      </c>
      <c r="B245" t="s">
        <v>230</v>
      </c>
      <c r="C245" s="8">
        <v>46045</v>
      </c>
      <c r="D245" s="9">
        <v>31673</v>
      </c>
    </row>
    <row r="246" spans="1:4">
      <c r="A246" t="s">
        <v>4</v>
      </c>
      <c r="B246" t="s">
        <v>231</v>
      </c>
      <c r="C246" s="8">
        <v>46045</v>
      </c>
      <c r="D246" s="9">
        <v>33790</v>
      </c>
    </row>
    <row r="247" spans="1:4">
      <c r="A247" t="s">
        <v>26</v>
      </c>
      <c r="B247" t="s">
        <v>232</v>
      </c>
      <c r="C247" s="8">
        <v>46045</v>
      </c>
      <c r="D247" s="9">
        <v>18372</v>
      </c>
    </row>
    <row r="248" spans="1:4">
      <c r="A248" t="s">
        <v>32</v>
      </c>
      <c r="B248" t="s">
        <v>233</v>
      </c>
      <c r="C248" s="8">
        <v>46045</v>
      </c>
      <c r="D248" s="9">
        <v>21920</v>
      </c>
    </row>
    <row r="249" spans="1:4">
      <c r="A249" t="s">
        <v>6</v>
      </c>
      <c r="B249" t="s">
        <v>234</v>
      </c>
      <c r="C249" s="8">
        <v>46045</v>
      </c>
      <c r="D249" s="9">
        <v>22582</v>
      </c>
    </row>
    <row r="250" spans="1:4">
      <c r="A250" t="s">
        <v>7</v>
      </c>
      <c r="B250" t="s">
        <v>235</v>
      </c>
      <c r="C250" s="8">
        <v>46045</v>
      </c>
      <c r="D250" s="9">
        <v>22190</v>
      </c>
    </row>
    <row r="251" spans="1:4">
      <c r="A251" t="s">
        <v>7</v>
      </c>
      <c r="B251" t="s">
        <v>236</v>
      </c>
      <c r="C251" s="8">
        <v>46045</v>
      </c>
      <c r="D251" s="9">
        <v>8186</v>
      </c>
    </row>
    <row r="252" spans="1:4">
      <c r="A252" t="s">
        <v>5</v>
      </c>
      <c r="B252" t="s">
        <v>190</v>
      </c>
      <c r="C252" s="8">
        <v>46045</v>
      </c>
      <c r="D252" s="9">
        <v>25989</v>
      </c>
    </row>
    <row r="253" spans="1:4">
      <c r="A253" t="s">
        <v>5</v>
      </c>
      <c r="B253" t="s">
        <v>53</v>
      </c>
      <c r="C253" s="8">
        <v>46045</v>
      </c>
      <c r="D253" s="9">
        <v>51085</v>
      </c>
    </row>
    <row r="254" spans="1:4">
      <c r="A254" t="s">
        <v>27</v>
      </c>
      <c r="B254" t="s">
        <v>237</v>
      </c>
      <c r="C254" s="8">
        <v>46046</v>
      </c>
      <c r="D254" s="9">
        <v>5200</v>
      </c>
    </row>
    <row r="255" spans="1:4">
      <c r="A255" t="s">
        <v>4</v>
      </c>
      <c r="B255" t="s">
        <v>238</v>
      </c>
      <c r="C255" s="8">
        <v>46046</v>
      </c>
      <c r="D255" s="9">
        <v>32524</v>
      </c>
    </row>
    <row r="256" spans="1:4">
      <c r="A256" t="s">
        <v>25</v>
      </c>
      <c r="B256" t="s">
        <v>239</v>
      </c>
      <c r="C256" s="8">
        <v>46046</v>
      </c>
      <c r="D256" s="9">
        <v>20860</v>
      </c>
    </row>
    <row r="257" spans="1:4">
      <c r="A257" t="s">
        <v>28</v>
      </c>
      <c r="B257" t="s">
        <v>240</v>
      </c>
      <c r="C257" s="8">
        <v>46046</v>
      </c>
      <c r="D257" s="9">
        <v>14265</v>
      </c>
    </row>
    <row r="258" spans="1:4">
      <c r="A258" t="s">
        <v>6</v>
      </c>
      <c r="B258" t="s">
        <v>241</v>
      </c>
      <c r="C258" s="8">
        <v>46046</v>
      </c>
      <c r="D258" s="9">
        <v>41514</v>
      </c>
    </row>
    <row r="259" spans="1:4">
      <c r="A259" t="s">
        <v>9</v>
      </c>
      <c r="B259" t="s">
        <v>221</v>
      </c>
      <c r="C259" s="8">
        <v>46046</v>
      </c>
      <c r="D259" s="9">
        <v>48321</v>
      </c>
    </row>
    <row r="260" spans="1:4">
      <c r="A260" t="s">
        <v>9</v>
      </c>
      <c r="B260" t="s">
        <v>51</v>
      </c>
      <c r="C260" s="8">
        <v>46046</v>
      </c>
      <c r="D260" s="9">
        <v>35125</v>
      </c>
    </row>
    <row r="261" spans="1:4">
      <c r="A261" t="s">
        <v>5</v>
      </c>
      <c r="B261" t="s">
        <v>242</v>
      </c>
      <c r="C261" s="8">
        <v>46046</v>
      </c>
      <c r="D261" s="9">
        <v>39580</v>
      </c>
    </row>
    <row r="262" spans="1:4">
      <c r="A262" t="s">
        <v>5</v>
      </c>
      <c r="B262" t="s">
        <v>243</v>
      </c>
      <c r="C262" s="8">
        <v>46046</v>
      </c>
      <c r="D262" s="9">
        <v>45110</v>
      </c>
    </row>
    <row r="263" spans="1:4">
      <c r="A263" t="s">
        <v>5</v>
      </c>
      <c r="B263" t="s">
        <v>188</v>
      </c>
      <c r="C263" s="8">
        <v>46046</v>
      </c>
      <c r="D263" s="9">
        <v>45516</v>
      </c>
    </row>
    <row r="264" spans="1:4">
      <c r="A264" t="s">
        <v>5</v>
      </c>
      <c r="B264" t="s">
        <v>146</v>
      </c>
      <c r="C264" s="8">
        <v>46046</v>
      </c>
      <c r="D264" s="9">
        <v>55366</v>
      </c>
    </row>
    <row r="265" spans="1:4">
      <c r="A265" t="s">
        <v>4</v>
      </c>
      <c r="B265" t="s">
        <v>244</v>
      </c>
      <c r="C265" s="8">
        <v>46047</v>
      </c>
      <c r="D265" s="9">
        <v>9434</v>
      </c>
    </row>
    <row r="266" spans="1:4">
      <c r="A266" t="s">
        <v>26</v>
      </c>
      <c r="B266" t="s">
        <v>245</v>
      </c>
      <c r="C266" s="8">
        <v>46047</v>
      </c>
      <c r="D266" s="9">
        <v>18302</v>
      </c>
    </row>
    <row r="267" spans="1:4">
      <c r="A267" t="s">
        <v>8</v>
      </c>
      <c r="B267" t="s">
        <v>246</v>
      </c>
      <c r="C267" s="8">
        <v>46047</v>
      </c>
      <c r="D267" s="9">
        <v>21276</v>
      </c>
    </row>
    <row r="268" spans="1:4">
      <c r="A268" t="s">
        <v>6</v>
      </c>
      <c r="B268" t="s">
        <v>247</v>
      </c>
      <c r="C268" s="8">
        <v>46047</v>
      </c>
      <c r="D268" s="9">
        <v>27150</v>
      </c>
    </row>
    <row r="269" spans="1:4">
      <c r="A269" t="s">
        <v>37</v>
      </c>
      <c r="B269" t="s">
        <v>248</v>
      </c>
      <c r="C269" s="8">
        <v>46047</v>
      </c>
      <c r="D269" s="9">
        <v>13706</v>
      </c>
    </row>
    <row r="270" spans="1:4">
      <c r="A270" t="s">
        <v>9</v>
      </c>
      <c r="B270" t="s">
        <v>172</v>
      </c>
      <c r="C270" s="8">
        <v>46047</v>
      </c>
      <c r="D270" s="9">
        <v>27107</v>
      </c>
    </row>
    <row r="271" spans="1:4">
      <c r="A271" t="s">
        <v>4</v>
      </c>
      <c r="B271" t="s">
        <v>249</v>
      </c>
      <c r="C271" s="8">
        <v>46048</v>
      </c>
      <c r="D271" s="9">
        <v>35265</v>
      </c>
    </row>
    <row r="272" spans="1:4">
      <c r="A272" t="s">
        <v>4</v>
      </c>
      <c r="B272" t="s">
        <v>230</v>
      </c>
      <c r="C272" s="8">
        <v>46048</v>
      </c>
      <c r="D272" s="9">
        <v>32757</v>
      </c>
    </row>
    <row r="273" spans="1:4">
      <c r="A273" t="s">
        <v>25</v>
      </c>
      <c r="B273" t="s">
        <v>250</v>
      </c>
      <c r="C273" s="8">
        <v>46048</v>
      </c>
      <c r="D273" s="9">
        <v>20467</v>
      </c>
    </row>
    <row r="274" spans="1:4">
      <c r="A274" t="s">
        <v>26</v>
      </c>
      <c r="B274" t="s">
        <v>251</v>
      </c>
      <c r="C274" s="8">
        <v>46048</v>
      </c>
      <c r="D274" s="9">
        <v>15287</v>
      </c>
    </row>
    <row r="275" spans="1:4">
      <c r="A275" t="s">
        <v>26</v>
      </c>
      <c r="B275" t="s">
        <v>252</v>
      </c>
      <c r="C275" s="8">
        <v>46048</v>
      </c>
      <c r="D275" s="9">
        <v>35742</v>
      </c>
    </row>
    <row r="276" spans="1:4">
      <c r="A276" t="s">
        <v>33</v>
      </c>
      <c r="B276" t="s">
        <v>253</v>
      </c>
      <c r="C276" s="8">
        <v>46048</v>
      </c>
      <c r="D276" s="9">
        <v>12423</v>
      </c>
    </row>
    <row r="277" spans="1:4">
      <c r="A277" t="s">
        <v>9</v>
      </c>
      <c r="B277" t="s">
        <v>208</v>
      </c>
      <c r="C277" s="8">
        <v>46048</v>
      </c>
      <c r="D277" s="9">
        <v>32273</v>
      </c>
    </row>
    <row r="278" spans="1:4">
      <c r="A278" t="s">
        <v>9</v>
      </c>
      <c r="B278" t="s">
        <v>78</v>
      </c>
      <c r="C278" s="8">
        <v>46048</v>
      </c>
      <c r="D278" s="9">
        <v>43470</v>
      </c>
    </row>
    <row r="279" spans="1:4">
      <c r="A279" t="s">
        <v>9</v>
      </c>
      <c r="B279" t="s">
        <v>102</v>
      </c>
      <c r="C279" s="8">
        <v>46048</v>
      </c>
      <c r="D279" s="9">
        <v>49186</v>
      </c>
    </row>
    <row r="280" spans="1:4">
      <c r="A280" t="s">
        <v>5</v>
      </c>
      <c r="B280" t="s">
        <v>103</v>
      </c>
      <c r="C280" s="8">
        <v>46048</v>
      </c>
      <c r="D280" s="9">
        <v>49405</v>
      </c>
    </row>
    <row r="281" spans="1:4">
      <c r="A281" t="s">
        <v>5</v>
      </c>
      <c r="B281" t="s">
        <v>197</v>
      </c>
      <c r="C281" s="8">
        <v>46048</v>
      </c>
      <c r="D281" s="9">
        <v>41557</v>
      </c>
    </row>
    <row r="282" spans="1:4">
      <c r="A282" t="s">
        <v>5</v>
      </c>
      <c r="B282" t="s">
        <v>191</v>
      </c>
      <c r="C282" s="8">
        <v>46048</v>
      </c>
      <c r="D282" s="9">
        <v>28712</v>
      </c>
    </row>
    <row r="283" spans="1:4">
      <c r="A283" t="s">
        <v>5</v>
      </c>
      <c r="B283" t="s">
        <v>167</v>
      </c>
      <c r="C283" s="8">
        <v>46048</v>
      </c>
      <c r="D283" s="9">
        <v>37602</v>
      </c>
    </row>
    <row r="284" spans="1:4">
      <c r="A284" t="s">
        <v>5</v>
      </c>
      <c r="B284" t="s">
        <v>168</v>
      </c>
      <c r="C284" s="8">
        <v>46048</v>
      </c>
      <c r="D284" s="9">
        <v>37471</v>
      </c>
    </row>
    <row r="285" spans="1:4">
      <c r="A285" t="s">
        <v>5</v>
      </c>
      <c r="B285" t="s">
        <v>105</v>
      </c>
      <c r="C285" s="8">
        <v>46048</v>
      </c>
      <c r="D285" s="9">
        <v>36598</v>
      </c>
    </row>
    <row r="286" spans="1:4">
      <c r="A286" t="s">
        <v>4</v>
      </c>
      <c r="B286" t="s">
        <v>103</v>
      </c>
      <c r="C286" s="8">
        <v>46049</v>
      </c>
      <c r="D286" s="9">
        <v>38850</v>
      </c>
    </row>
    <row r="287" spans="1:4">
      <c r="A287" t="s">
        <v>28</v>
      </c>
      <c r="B287" t="s">
        <v>254</v>
      </c>
      <c r="C287" s="8">
        <v>46049</v>
      </c>
      <c r="D287" s="9">
        <v>15182</v>
      </c>
    </row>
    <row r="288" spans="1:4">
      <c r="A288" t="s">
        <v>30</v>
      </c>
      <c r="B288" t="s">
        <v>55</v>
      </c>
      <c r="C288" s="8">
        <v>46049</v>
      </c>
      <c r="D288" s="9">
        <v>14931</v>
      </c>
    </row>
    <row r="289" spans="1:4">
      <c r="A289" t="s">
        <v>30</v>
      </c>
      <c r="B289" t="s">
        <v>255</v>
      </c>
      <c r="C289" s="8">
        <v>46049</v>
      </c>
      <c r="D289" s="9">
        <v>13314</v>
      </c>
    </row>
    <row r="290" spans="1:4">
      <c r="A290" t="s">
        <v>8</v>
      </c>
      <c r="B290" t="s">
        <v>256</v>
      </c>
      <c r="C290" s="8">
        <v>46049</v>
      </c>
      <c r="D290" s="9">
        <v>21016</v>
      </c>
    </row>
    <row r="291" spans="1:4">
      <c r="A291" t="s">
        <v>6</v>
      </c>
      <c r="B291" t="s">
        <v>217</v>
      </c>
      <c r="C291" s="8">
        <v>46049</v>
      </c>
      <c r="D291" s="9">
        <v>24419</v>
      </c>
    </row>
    <row r="292" spans="1:4">
      <c r="A292" t="s">
        <v>7</v>
      </c>
      <c r="B292" t="s">
        <v>257</v>
      </c>
      <c r="C292" s="8">
        <v>46049</v>
      </c>
      <c r="D292" s="9">
        <v>25793</v>
      </c>
    </row>
    <row r="293" spans="1:4">
      <c r="A293" t="s">
        <v>7</v>
      </c>
      <c r="B293" t="s">
        <v>90</v>
      </c>
      <c r="C293" s="8">
        <v>46049</v>
      </c>
      <c r="D293" s="9">
        <v>26433</v>
      </c>
    </row>
    <row r="294" spans="1:4">
      <c r="A294" t="s">
        <v>9</v>
      </c>
      <c r="B294" t="s">
        <v>249</v>
      </c>
      <c r="C294" s="8">
        <v>46049</v>
      </c>
      <c r="D294" s="9">
        <v>26621</v>
      </c>
    </row>
    <row r="295" spans="1:4">
      <c r="A295" t="s">
        <v>9</v>
      </c>
      <c r="B295" t="s">
        <v>258</v>
      </c>
      <c r="C295" s="8">
        <v>46049</v>
      </c>
      <c r="D295" s="9">
        <v>58131</v>
      </c>
    </row>
    <row r="296" spans="1:4">
      <c r="A296" t="s">
        <v>5</v>
      </c>
      <c r="B296" t="s">
        <v>184</v>
      </c>
      <c r="C296" s="8">
        <v>46049</v>
      </c>
      <c r="D296" s="9">
        <v>40200</v>
      </c>
    </row>
    <row r="297" spans="1:4">
      <c r="A297" t="s">
        <v>5</v>
      </c>
      <c r="B297" t="s">
        <v>93</v>
      </c>
      <c r="C297" s="8">
        <v>46049</v>
      </c>
      <c r="D297" s="9">
        <v>36752</v>
      </c>
    </row>
    <row r="298" spans="1:4">
      <c r="A298" t="s">
        <v>5</v>
      </c>
      <c r="B298" t="s">
        <v>81</v>
      </c>
      <c r="C298" s="8">
        <v>46049</v>
      </c>
      <c r="D298" s="9">
        <v>46893</v>
      </c>
    </row>
    <row r="299" spans="1:4">
      <c r="A299" t="s">
        <v>5</v>
      </c>
      <c r="B299" t="s">
        <v>197</v>
      </c>
      <c r="C299" s="8">
        <v>46049</v>
      </c>
      <c r="D299" s="9">
        <v>37834</v>
      </c>
    </row>
    <row r="300" spans="1:4">
      <c r="A300" t="s">
        <v>5</v>
      </c>
      <c r="B300" t="s">
        <v>183</v>
      </c>
      <c r="C300" s="8">
        <v>46049</v>
      </c>
      <c r="D300" s="9">
        <v>36901</v>
      </c>
    </row>
    <row r="301" spans="1:4">
      <c r="A301" t="s">
        <v>5</v>
      </c>
      <c r="B301" t="s">
        <v>159</v>
      </c>
      <c r="C301" s="8">
        <v>46049</v>
      </c>
      <c r="D301" s="9">
        <v>38809</v>
      </c>
    </row>
    <row r="302" spans="1:4">
      <c r="A302" t="s">
        <v>5</v>
      </c>
      <c r="B302" t="s">
        <v>141</v>
      </c>
      <c r="C302" s="8">
        <v>46049</v>
      </c>
      <c r="D302" s="9">
        <v>49080</v>
      </c>
    </row>
    <row r="303" spans="1:4">
      <c r="A303" t="s">
        <v>27</v>
      </c>
      <c r="B303" t="s">
        <v>259</v>
      </c>
      <c r="C303" s="8">
        <v>46050</v>
      </c>
      <c r="D303" s="9">
        <v>5200</v>
      </c>
    </row>
    <row r="304" spans="1:4">
      <c r="A304" t="s">
        <v>4</v>
      </c>
      <c r="B304" t="s">
        <v>260</v>
      </c>
      <c r="C304" s="8">
        <v>46050</v>
      </c>
      <c r="D304" s="9">
        <v>32724</v>
      </c>
    </row>
    <row r="305" spans="1:4">
      <c r="A305" t="s">
        <v>25</v>
      </c>
      <c r="B305" t="s">
        <v>261</v>
      </c>
      <c r="C305" s="8">
        <v>46050</v>
      </c>
      <c r="D305" s="9">
        <v>17212</v>
      </c>
    </row>
    <row r="306" spans="1:4">
      <c r="A306" t="s">
        <v>6</v>
      </c>
      <c r="B306" t="s">
        <v>262</v>
      </c>
      <c r="C306" s="8">
        <v>46050</v>
      </c>
      <c r="D306" s="9">
        <v>9778</v>
      </c>
    </row>
    <row r="307" spans="1:4">
      <c r="A307" t="s">
        <v>7</v>
      </c>
      <c r="B307" t="s">
        <v>263</v>
      </c>
      <c r="C307" s="8">
        <v>46050</v>
      </c>
      <c r="D307" s="9">
        <v>26085</v>
      </c>
    </row>
    <row r="308" spans="1:4">
      <c r="A308" t="s">
        <v>9</v>
      </c>
      <c r="B308" t="s">
        <v>264</v>
      </c>
      <c r="C308" s="8">
        <v>46050</v>
      </c>
      <c r="D308" s="9">
        <v>23965</v>
      </c>
    </row>
    <row r="309" spans="1:4">
      <c r="A309" t="s">
        <v>9</v>
      </c>
      <c r="B309" t="s">
        <v>150</v>
      </c>
      <c r="C309" s="8">
        <v>46050</v>
      </c>
      <c r="D309" s="9">
        <v>24880</v>
      </c>
    </row>
    <row r="310" spans="1:4">
      <c r="A310" t="s">
        <v>5</v>
      </c>
      <c r="B310" t="s">
        <v>182</v>
      </c>
      <c r="C310" s="8">
        <v>46050</v>
      </c>
      <c r="D310" s="9">
        <v>50879</v>
      </c>
    </row>
    <row r="311" spans="1:4">
      <c r="A311" t="s">
        <v>5</v>
      </c>
      <c r="B311" t="s">
        <v>202</v>
      </c>
      <c r="C311" s="8">
        <v>46050</v>
      </c>
      <c r="D311" s="9">
        <v>35266</v>
      </c>
    </row>
    <row r="312" spans="1:4">
      <c r="A312" t="s">
        <v>5</v>
      </c>
      <c r="B312" t="s">
        <v>125</v>
      </c>
      <c r="C312" s="8">
        <v>46050</v>
      </c>
      <c r="D312" s="9">
        <v>36555</v>
      </c>
    </row>
    <row r="313" spans="1:4">
      <c r="A313" t="s">
        <v>27</v>
      </c>
      <c r="B313" t="s">
        <v>265</v>
      </c>
      <c r="C313" s="8">
        <v>46051</v>
      </c>
      <c r="D313" s="9">
        <v>14109</v>
      </c>
    </row>
    <row r="314" spans="1:4">
      <c r="A314" t="s">
        <v>4</v>
      </c>
      <c r="B314" t="s">
        <v>147</v>
      </c>
      <c r="C314" s="8">
        <v>46051</v>
      </c>
      <c r="D314" s="9">
        <v>39899</v>
      </c>
    </row>
    <row r="315" spans="1:4">
      <c r="A315" t="s">
        <v>8</v>
      </c>
      <c r="B315" t="s">
        <v>266</v>
      </c>
      <c r="C315" s="8">
        <v>46051</v>
      </c>
      <c r="D315" s="9">
        <v>14666</v>
      </c>
    </row>
    <row r="316" spans="1:4">
      <c r="A316" t="s">
        <v>7</v>
      </c>
      <c r="B316" t="s">
        <v>267</v>
      </c>
      <c r="C316" s="8">
        <v>46051</v>
      </c>
      <c r="D316" s="9">
        <v>26280</v>
      </c>
    </row>
    <row r="317" spans="1:4">
      <c r="A317" t="s">
        <v>7</v>
      </c>
      <c r="B317" t="s">
        <v>268</v>
      </c>
      <c r="C317" s="8">
        <v>46051</v>
      </c>
      <c r="D317" s="9">
        <v>21546</v>
      </c>
    </row>
    <row r="318" spans="1:4">
      <c r="A318" t="s">
        <v>9</v>
      </c>
      <c r="B318" t="s">
        <v>269</v>
      </c>
      <c r="C318" s="8">
        <v>46051</v>
      </c>
      <c r="D318" s="9">
        <v>14987</v>
      </c>
    </row>
    <row r="319" spans="1:4">
      <c r="A319" t="s">
        <v>9</v>
      </c>
      <c r="B319" t="s">
        <v>129</v>
      </c>
      <c r="C319" s="8">
        <v>46051</v>
      </c>
      <c r="D319" s="9">
        <v>35005</v>
      </c>
    </row>
    <row r="320" spans="1:4">
      <c r="A320" t="s">
        <v>5</v>
      </c>
      <c r="B320" t="s">
        <v>221</v>
      </c>
      <c r="C320" s="8">
        <v>46051</v>
      </c>
      <c r="D320" s="9">
        <v>46400</v>
      </c>
    </row>
    <row r="321" spans="1:4">
      <c r="A321" t="s">
        <v>5</v>
      </c>
      <c r="B321" t="s">
        <v>184</v>
      </c>
      <c r="C321" s="8">
        <v>46051</v>
      </c>
      <c r="D321" s="9">
        <v>40166</v>
      </c>
    </row>
    <row r="322" spans="1:4">
      <c r="A322" t="s">
        <v>5</v>
      </c>
      <c r="B322" t="s">
        <v>132</v>
      </c>
      <c r="C322" s="8">
        <v>46051</v>
      </c>
      <c r="D322" s="9">
        <v>36079</v>
      </c>
    </row>
    <row r="323" spans="1:4">
      <c r="A323" t="s">
        <v>5</v>
      </c>
      <c r="B323" t="s">
        <v>209</v>
      </c>
      <c r="C323" s="8">
        <v>46051</v>
      </c>
      <c r="D323" s="9">
        <v>39692</v>
      </c>
    </row>
    <row r="324" spans="1:4">
      <c r="A324" t="s">
        <v>5</v>
      </c>
      <c r="B324" t="s">
        <v>174</v>
      </c>
      <c r="C324" s="8">
        <v>46051</v>
      </c>
      <c r="D324" s="9">
        <v>44370</v>
      </c>
    </row>
    <row r="325" spans="1:4">
      <c r="A325" t="s">
        <v>27</v>
      </c>
      <c r="B325" t="s">
        <v>270</v>
      </c>
      <c r="C325" s="8">
        <v>46052</v>
      </c>
      <c r="D325" s="9">
        <v>15919</v>
      </c>
    </row>
    <row r="326" spans="1:4">
      <c r="A326" t="s">
        <v>4</v>
      </c>
      <c r="B326" t="s">
        <v>271</v>
      </c>
      <c r="C326" s="8">
        <v>46052</v>
      </c>
      <c r="D326" s="9">
        <v>24852</v>
      </c>
    </row>
    <row r="327" spans="1:4">
      <c r="A327" t="s">
        <v>31</v>
      </c>
      <c r="B327" t="s">
        <v>272</v>
      </c>
      <c r="C327" s="8">
        <v>46052</v>
      </c>
      <c r="D327" s="9">
        <v>28425</v>
      </c>
    </row>
    <row r="328" spans="1:4">
      <c r="A328" t="s">
        <v>32</v>
      </c>
      <c r="B328" t="s">
        <v>273</v>
      </c>
      <c r="C328" s="8">
        <v>46052</v>
      </c>
      <c r="D328" s="9">
        <v>13357</v>
      </c>
    </row>
    <row r="329" spans="1:4">
      <c r="A329" t="s">
        <v>29</v>
      </c>
      <c r="B329" t="s">
        <v>274</v>
      </c>
      <c r="C329" s="8">
        <v>46052</v>
      </c>
      <c r="D329" s="9">
        <v>14337</v>
      </c>
    </row>
    <row r="330" spans="1:4">
      <c r="A330" t="s">
        <v>7</v>
      </c>
      <c r="B330" t="s">
        <v>275</v>
      </c>
      <c r="C330" s="8">
        <v>46052</v>
      </c>
      <c r="D330" s="9">
        <v>31290</v>
      </c>
    </row>
    <row r="331" spans="1:4">
      <c r="A331" t="s">
        <v>7</v>
      </c>
      <c r="B331" t="s">
        <v>276</v>
      </c>
      <c r="C331" s="8">
        <v>46052</v>
      </c>
      <c r="D331" s="9">
        <v>40271</v>
      </c>
    </row>
    <row r="332" spans="1:4">
      <c r="A332" t="s">
        <v>9</v>
      </c>
      <c r="B332" t="s">
        <v>227</v>
      </c>
      <c r="C332" s="8">
        <v>46052</v>
      </c>
      <c r="D332" s="9">
        <v>26803</v>
      </c>
    </row>
    <row r="333" spans="1:4">
      <c r="A333" t="s">
        <v>9</v>
      </c>
      <c r="B333" t="s">
        <v>277</v>
      </c>
      <c r="C333" s="8">
        <v>46052</v>
      </c>
      <c r="D333" s="9">
        <v>40335</v>
      </c>
    </row>
    <row r="334" spans="1:4">
      <c r="A334" t="s">
        <v>9</v>
      </c>
      <c r="B334" t="s">
        <v>195</v>
      </c>
      <c r="C334" s="8">
        <v>46052</v>
      </c>
      <c r="D334" s="9">
        <v>37149</v>
      </c>
    </row>
    <row r="335" spans="1:4">
      <c r="A335" t="s">
        <v>5</v>
      </c>
      <c r="B335" t="s">
        <v>110</v>
      </c>
      <c r="C335" s="8">
        <v>46052</v>
      </c>
      <c r="D335" s="9">
        <v>39771</v>
      </c>
    </row>
    <row r="336" spans="1:4">
      <c r="A336" t="s">
        <v>5</v>
      </c>
      <c r="B336" t="s">
        <v>206</v>
      </c>
      <c r="C336" s="8">
        <v>46052</v>
      </c>
      <c r="D336" s="9">
        <v>45476</v>
      </c>
    </row>
    <row r="337" spans="1:4">
      <c r="A337" t="s">
        <v>5</v>
      </c>
      <c r="B337" t="s">
        <v>181</v>
      </c>
      <c r="C337" s="8">
        <v>46052</v>
      </c>
      <c r="D337" s="9">
        <v>35288</v>
      </c>
    </row>
    <row r="338" spans="1:4">
      <c r="A338" t="s">
        <v>5</v>
      </c>
      <c r="B338" t="s">
        <v>202</v>
      </c>
      <c r="C338" s="8">
        <v>46052</v>
      </c>
      <c r="D338" s="9">
        <v>26562</v>
      </c>
    </row>
    <row r="339" spans="1:4">
      <c r="A339" t="s">
        <v>27</v>
      </c>
      <c r="B339" t="s">
        <v>278</v>
      </c>
      <c r="C339" s="8">
        <v>46053</v>
      </c>
      <c r="D339" s="9">
        <v>31474</v>
      </c>
    </row>
    <row r="340" spans="1:4">
      <c r="A340" t="s">
        <v>4</v>
      </c>
      <c r="B340" t="s">
        <v>279</v>
      </c>
      <c r="C340" s="8">
        <v>46053</v>
      </c>
      <c r="D340" s="9">
        <v>45987</v>
      </c>
    </row>
    <row r="341" spans="1:4">
      <c r="A341" t="s">
        <v>4</v>
      </c>
      <c r="B341" t="s">
        <v>280</v>
      </c>
      <c r="C341" s="8">
        <v>46053</v>
      </c>
      <c r="D341" s="9">
        <v>42610</v>
      </c>
    </row>
    <row r="342" spans="1:4">
      <c r="A342" t="s">
        <v>26</v>
      </c>
      <c r="B342" t="s">
        <v>281</v>
      </c>
      <c r="C342" s="8">
        <v>46053</v>
      </c>
      <c r="D342" s="9">
        <v>18149</v>
      </c>
    </row>
    <row r="343" spans="1:4">
      <c r="A343" t="s">
        <v>7</v>
      </c>
      <c r="B343" t="s">
        <v>282</v>
      </c>
      <c r="C343" s="8">
        <v>46053</v>
      </c>
      <c r="D343" s="9">
        <v>36907</v>
      </c>
    </row>
    <row r="344" spans="1:4">
      <c r="A344" t="s">
        <v>9</v>
      </c>
      <c r="B344" t="s">
        <v>283</v>
      </c>
      <c r="C344" s="8">
        <v>46053</v>
      </c>
      <c r="D344" s="9">
        <v>18096</v>
      </c>
    </row>
    <row r="345" spans="1:4">
      <c r="A345" t="s">
        <v>5</v>
      </c>
      <c r="B345" t="s">
        <v>115</v>
      </c>
      <c r="C345" s="8">
        <v>46053</v>
      </c>
      <c r="D345" s="9">
        <v>28123</v>
      </c>
    </row>
    <row r="346" spans="1:4">
      <c r="A346" t="s">
        <v>27</v>
      </c>
      <c r="B346" t="s">
        <v>82</v>
      </c>
      <c r="C346" s="8">
        <v>46054</v>
      </c>
      <c r="D346" s="9">
        <v>14272</v>
      </c>
    </row>
    <row r="347" spans="1:4">
      <c r="A347" t="s">
        <v>4</v>
      </c>
      <c r="B347" t="s">
        <v>280</v>
      </c>
      <c r="C347" s="8">
        <v>46054</v>
      </c>
      <c r="D347" s="9">
        <v>40346</v>
      </c>
    </row>
    <row r="348" spans="1:4">
      <c r="A348" t="s">
        <v>28</v>
      </c>
      <c r="B348" t="s">
        <v>240</v>
      </c>
      <c r="C348" s="8">
        <v>46054</v>
      </c>
      <c r="D348" s="9">
        <v>14936</v>
      </c>
    </row>
    <row r="349" spans="1:4">
      <c r="A349" t="s">
        <v>26</v>
      </c>
      <c r="B349" t="s">
        <v>245</v>
      </c>
      <c r="C349" s="8">
        <v>46054</v>
      </c>
      <c r="D349" s="9">
        <v>18965</v>
      </c>
    </row>
    <row r="350" spans="1:4">
      <c r="A350" t="s">
        <v>7</v>
      </c>
      <c r="B350" t="s">
        <v>135</v>
      </c>
      <c r="C350" s="8">
        <v>46054</v>
      </c>
      <c r="D350" s="9">
        <v>31086</v>
      </c>
    </row>
    <row r="351" spans="1:4">
      <c r="A351" t="s">
        <v>9</v>
      </c>
      <c r="B351" t="s">
        <v>249</v>
      </c>
      <c r="C351" s="8">
        <v>46054</v>
      </c>
      <c r="D351" s="9">
        <v>31662</v>
      </c>
    </row>
    <row r="352" spans="1:4">
      <c r="A352" t="s">
        <v>9</v>
      </c>
      <c r="B352" t="s">
        <v>92</v>
      </c>
      <c r="C352" s="8">
        <v>46054</v>
      </c>
      <c r="D352" s="9">
        <v>37575</v>
      </c>
    </row>
    <row r="353" spans="1:4">
      <c r="A353" t="s">
        <v>9</v>
      </c>
      <c r="B353" t="s">
        <v>57</v>
      </c>
      <c r="C353" s="8">
        <v>46054</v>
      </c>
      <c r="D353" s="9">
        <v>26148</v>
      </c>
    </row>
    <row r="354" spans="1:4">
      <c r="A354" t="s">
        <v>5</v>
      </c>
      <c r="B354" t="s">
        <v>62</v>
      </c>
      <c r="C354" s="8">
        <v>46054</v>
      </c>
      <c r="D354" s="9">
        <v>49332</v>
      </c>
    </row>
    <row r="355" spans="1:4">
      <c r="A355" t="s">
        <v>27</v>
      </c>
      <c r="B355" t="s">
        <v>59</v>
      </c>
      <c r="C355" s="8">
        <v>46055</v>
      </c>
      <c r="D355" s="9">
        <v>16524</v>
      </c>
    </row>
    <row r="356" spans="1:4">
      <c r="A356" t="s">
        <v>4</v>
      </c>
      <c r="B356" t="s">
        <v>229</v>
      </c>
      <c r="C356" s="8">
        <v>46055</v>
      </c>
      <c r="D356" s="9">
        <v>47713</v>
      </c>
    </row>
    <row r="357" spans="1:4">
      <c r="A357" t="s">
        <v>4</v>
      </c>
      <c r="B357" t="s">
        <v>84</v>
      </c>
      <c r="C357" s="8">
        <v>46055</v>
      </c>
      <c r="D357" s="9">
        <v>35107</v>
      </c>
    </row>
    <row r="358" spans="1:4">
      <c r="A358" t="s">
        <v>28</v>
      </c>
      <c r="B358" t="s">
        <v>71</v>
      </c>
      <c r="C358" s="8">
        <v>46055</v>
      </c>
      <c r="D358" s="9">
        <v>13726</v>
      </c>
    </row>
    <row r="359" spans="1:4">
      <c r="A359" t="s">
        <v>8</v>
      </c>
      <c r="B359" t="s">
        <v>52</v>
      </c>
      <c r="C359" s="8">
        <v>46055</v>
      </c>
      <c r="D359" s="9">
        <v>22928</v>
      </c>
    </row>
    <row r="360" spans="1:4">
      <c r="A360" t="s">
        <v>6</v>
      </c>
      <c r="B360" t="s">
        <v>217</v>
      </c>
      <c r="C360" s="8">
        <v>46055</v>
      </c>
      <c r="D360" s="9">
        <v>20966</v>
      </c>
    </row>
    <row r="361" spans="1:4">
      <c r="A361" t="s">
        <v>7</v>
      </c>
      <c r="B361" t="s">
        <v>235</v>
      </c>
      <c r="C361" s="8">
        <v>46055</v>
      </c>
      <c r="D361" s="9">
        <v>22992</v>
      </c>
    </row>
    <row r="362" spans="1:4">
      <c r="A362" t="s">
        <v>7</v>
      </c>
      <c r="B362" t="s">
        <v>70</v>
      </c>
      <c r="C362" s="8">
        <v>46055</v>
      </c>
      <c r="D362" s="9">
        <v>16308</v>
      </c>
    </row>
    <row r="363" spans="1:4">
      <c r="A363" t="s">
        <v>7</v>
      </c>
      <c r="B363" t="s">
        <v>204</v>
      </c>
      <c r="C363" s="8">
        <v>46055</v>
      </c>
      <c r="D363" s="9">
        <v>25467</v>
      </c>
    </row>
    <row r="364" spans="1:4">
      <c r="A364" t="s">
        <v>9</v>
      </c>
      <c r="B364" t="s">
        <v>208</v>
      </c>
      <c r="C364" s="8">
        <v>46055</v>
      </c>
      <c r="D364" s="9">
        <v>29899</v>
      </c>
    </row>
    <row r="365" spans="1:4">
      <c r="A365" t="s">
        <v>5</v>
      </c>
      <c r="B365" t="s">
        <v>96</v>
      </c>
      <c r="C365" s="8">
        <v>46055</v>
      </c>
      <c r="D365" s="9">
        <v>46515</v>
      </c>
    </row>
    <row r="366" spans="1:4">
      <c r="A366" t="s">
        <v>5</v>
      </c>
      <c r="B366" t="s">
        <v>188</v>
      </c>
      <c r="C366" s="8">
        <v>46055</v>
      </c>
      <c r="D366" s="9">
        <v>54190</v>
      </c>
    </row>
    <row r="367" spans="1:4">
      <c r="A367" t="s">
        <v>5</v>
      </c>
      <c r="B367" t="s">
        <v>118</v>
      </c>
      <c r="C367" s="8">
        <v>46055</v>
      </c>
      <c r="D367" s="9">
        <v>27157</v>
      </c>
    </row>
    <row r="368" spans="1:4">
      <c r="A368" t="s">
        <v>5</v>
      </c>
      <c r="B368" t="s">
        <v>146</v>
      </c>
      <c r="C368" s="8">
        <v>46055</v>
      </c>
      <c r="D368" s="9">
        <v>57282</v>
      </c>
    </row>
    <row r="369" spans="1:4">
      <c r="A369" t="s">
        <v>27</v>
      </c>
      <c r="B369" t="s">
        <v>270</v>
      </c>
      <c r="C369" s="8">
        <v>46056</v>
      </c>
      <c r="D369" s="9">
        <v>15339</v>
      </c>
    </row>
    <row r="370" spans="1:4">
      <c r="A370" t="s">
        <v>27</v>
      </c>
      <c r="B370" t="s">
        <v>259</v>
      </c>
      <c r="C370" s="8">
        <v>46056</v>
      </c>
      <c r="D370" s="9">
        <v>9982</v>
      </c>
    </row>
    <row r="371" spans="1:4">
      <c r="A371" t="s">
        <v>4</v>
      </c>
      <c r="B371" t="s">
        <v>244</v>
      </c>
      <c r="C371" s="8">
        <v>46056</v>
      </c>
      <c r="D371" s="9">
        <v>19249</v>
      </c>
    </row>
    <row r="372" spans="1:4">
      <c r="A372" t="s">
        <v>4</v>
      </c>
      <c r="B372" t="s">
        <v>230</v>
      </c>
      <c r="C372" s="8">
        <v>46056</v>
      </c>
      <c r="D372" s="9">
        <v>30053</v>
      </c>
    </row>
    <row r="373" spans="1:4">
      <c r="A373" t="s">
        <v>4</v>
      </c>
      <c r="B373" t="s">
        <v>119</v>
      </c>
      <c r="C373" s="8">
        <v>46056</v>
      </c>
      <c r="D373" s="9">
        <v>42574</v>
      </c>
    </row>
    <row r="374" spans="1:4">
      <c r="A374" t="s">
        <v>4</v>
      </c>
      <c r="B374" t="s">
        <v>198</v>
      </c>
      <c r="C374" s="8">
        <v>46056</v>
      </c>
      <c r="D374" s="9">
        <v>37481</v>
      </c>
    </row>
    <row r="375" spans="1:4">
      <c r="A375" t="s">
        <v>25</v>
      </c>
      <c r="B375" t="s">
        <v>127</v>
      </c>
      <c r="C375" s="8">
        <v>46056</v>
      </c>
      <c r="D375" s="9">
        <v>34689</v>
      </c>
    </row>
    <row r="376" spans="1:4">
      <c r="A376" t="s">
        <v>30</v>
      </c>
      <c r="B376" t="s">
        <v>157</v>
      </c>
      <c r="C376" s="8">
        <v>46056</v>
      </c>
      <c r="D376" s="9">
        <v>16251</v>
      </c>
    </row>
    <row r="377" spans="1:4">
      <c r="A377" t="s">
        <v>8</v>
      </c>
      <c r="B377" t="s">
        <v>219</v>
      </c>
      <c r="C377" s="8">
        <v>46056</v>
      </c>
      <c r="D377" s="9">
        <v>6287</v>
      </c>
    </row>
    <row r="378" spans="1:4">
      <c r="A378" t="s">
        <v>6</v>
      </c>
      <c r="B378" t="s">
        <v>112</v>
      </c>
      <c r="C378" s="8">
        <v>46056</v>
      </c>
      <c r="D378" s="9">
        <v>15360</v>
      </c>
    </row>
    <row r="379" spans="1:4">
      <c r="A379" t="s">
        <v>9</v>
      </c>
      <c r="B379" t="s">
        <v>197</v>
      </c>
      <c r="C379" s="8">
        <v>46056</v>
      </c>
      <c r="D379" s="9">
        <v>34808</v>
      </c>
    </row>
    <row r="380" spans="1:4">
      <c r="A380" t="s">
        <v>9</v>
      </c>
      <c r="B380" t="s">
        <v>150</v>
      </c>
      <c r="C380" s="8">
        <v>46056</v>
      </c>
      <c r="D380" s="9">
        <v>27021</v>
      </c>
    </row>
    <row r="381" spans="1:4">
      <c r="A381" t="s">
        <v>5</v>
      </c>
      <c r="B381" t="s">
        <v>115</v>
      </c>
      <c r="C381" s="8">
        <v>46056</v>
      </c>
      <c r="D381" s="9">
        <v>41374</v>
      </c>
    </row>
    <row r="382" spans="1:4">
      <c r="A382" t="s">
        <v>5</v>
      </c>
      <c r="B382" t="s">
        <v>96</v>
      </c>
      <c r="C382" s="8">
        <v>46056</v>
      </c>
      <c r="D382" s="9">
        <v>45347</v>
      </c>
    </row>
    <row r="383" spans="1:4">
      <c r="A383" t="s">
        <v>27</v>
      </c>
      <c r="B383" t="s">
        <v>265</v>
      </c>
      <c r="C383" s="8">
        <v>46057</v>
      </c>
      <c r="D383" s="9">
        <v>11566</v>
      </c>
    </row>
    <row r="384" spans="1:4">
      <c r="A384" t="s">
        <v>4</v>
      </c>
      <c r="B384" t="s">
        <v>189</v>
      </c>
      <c r="C384" s="8">
        <v>46057</v>
      </c>
      <c r="D384" s="9">
        <v>31752</v>
      </c>
    </row>
    <row r="385" spans="1:4">
      <c r="A385" t="s">
        <v>25</v>
      </c>
      <c r="B385" t="s">
        <v>239</v>
      </c>
      <c r="C385" s="8">
        <v>46057</v>
      </c>
      <c r="D385" s="9">
        <v>14871</v>
      </c>
    </row>
    <row r="386" spans="1:4">
      <c r="A386" t="s">
        <v>25</v>
      </c>
      <c r="B386" t="s">
        <v>108</v>
      </c>
      <c r="C386" s="8">
        <v>46057</v>
      </c>
      <c r="D386" s="9">
        <v>16913</v>
      </c>
    </row>
    <row r="387" spans="1:4">
      <c r="A387" t="s">
        <v>25</v>
      </c>
      <c r="B387" t="s">
        <v>66</v>
      </c>
      <c r="C387" s="8">
        <v>46057</v>
      </c>
      <c r="D387" s="9">
        <v>17518</v>
      </c>
    </row>
    <row r="388" spans="1:4">
      <c r="A388" t="s">
        <v>26</v>
      </c>
      <c r="B388" t="s">
        <v>211</v>
      </c>
      <c r="C388" s="8">
        <v>46057</v>
      </c>
      <c r="D388" s="9">
        <v>20197</v>
      </c>
    </row>
    <row r="389" spans="1:4">
      <c r="A389" t="s">
        <v>8</v>
      </c>
      <c r="B389" t="s">
        <v>143</v>
      </c>
      <c r="C389" s="8">
        <v>46057</v>
      </c>
      <c r="D389" s="9">
        <v>12315</v>
      </c>
    </row>
    <row r="390" spans="1:4">
      <c r="A390" t="s">
        <v>7</v>
      </c>
      <c r="B390" t="s">
        <v>114</v>
      </c>
      <c r="C390" s="8">
        <v>46057</v>
      </c>
      <c r="D390" s="9">
        <v>34355</v>
      </c>
    </row>
    <row r="391" spans="1:4">
      <c r="A391" t="s">
        <v>7</v>
      </c>
      <c r="B391" t="s">
        <v>54</v>
      </c>
      <c r="C391" s="8">
        <v>46057</v>
      </c>
      <c r="D391" s="9">
        <v>33646</v>
      </c>
    </row>
    <row r="392" spans="1:4">
      <c r="A392" t="s">
        <v>9</v>
      </c>
      <c r="B392" t="s">
        <v>172</v>
      </c>
      <c r="C392" s="8">
        <v>46057</v>
      </c>
      <c r="D392" s="9">
        <v>34763</v>
      </c>
    </row>
    <row r="393" spans="1:4">
      <c r="A393" t="s">
        <v>5</v>
      </c>
      <c r="B393" t="s">
        <v>221</v>
      </c>
      <c r="C393" s="8">
        <v>46057</v>
      </c>
      <c r="D393" s="9">
        <v>36768</v>
      </c>
    </row>
    <row r="394" spans="1:4">
      <c r="A394" t="s">
        <v>5</v>
      </c>
      <c r="B394" t="s">
        <v>184</v>
      </c>
      <c r="C394" s="8">
        <v>46057</v>
      </c>
      <c r="D394" s="9">
        <v>54973</v>
      </c>
    </row>
    <row r="395" spans="1:4">
      <c r="A395" t="s">
        <v>5</v>
      </c>
      <c r="B395" t="s">
        <v>181</v>
      </c>
      <c r="C395" s="8">
        <v>46057</v>
      </c>
      <c r="D395" s="9">
        <v>45093</v>
      </c>
    </row>
    <row r="396" spans="1:4">
      <c r="A396" t="s">
        <v>5</v>
      </c>
      <c r="B396" t="s">
        <v>117</v>
      </c>
      <c r="C396" s="8">
        <v>46057</v>
      </c>
      <c r="D396" s="9">
        <v>41574</v>
      </c>
    </row>
    <row r="397" spans="1:4">
      <c r="A397" t="s">
        <v>5</v>
      </c>
      <c r="B397" t="s">
        <v>191</v>
      </c>
      <c r="C397" s="8">
        <v>46057</v>
      </c>
      <c r="D397" s="9">
        <v>33755</v>
      </c>
    </row>
    <row r="398" spans="1:4">
      <c r="A398" t="s">
        <v>5</v>
      </c>
      <c r="B398" t="s">
        <v>118</v>
      </c>
      <c r="C398" s="8">
        <v>46057</v>
      </c>
      <c r="D398" s="9">
        <v>37022</v>
      </c>
    </row>
    <row r="399" spans="1:4">
      <c r="A399" t="s">
        <v>5</v>
      </c>
      <c r="B399" t="s">
        <v>105</v>
      </c>
      <c r="C399" s="8">
        <v>46057</v>
      </c>
      <c r="D399" s="9">
        <v>38427</v>
      </c>
    </row>
    <row r="400" spans="1:4">
      <c r="A400" t="s">
        <v>5</v>
      </c>
      <c r="B400" t="s">
        <v>146</v>
      </c>
      <c r="C400" s="8">
        <v>46057</v>
      </c>
      <c r="D400" s="9">
        <v>40126</v>
      </c>
    </row>
    <row r="401" spans="1:4">
      <c r="A401" t="s">
        <v>4</v>
      </c>
      <c r="B401" t="s">
        <v>192</v>
      </c>
      <c r="C401" s="8">
        <v>46058</v>
      </c>
      <c r="D401" s="9">
        <v>33924</v>
      </c>
    </row>
    <row r="402" spans="1:4">
      <c r="A402" t="s">
        <v>31</v>
      </c>
      <c r="B402" t="s">
        <v>99</v>
      </c>
      <c r="C402" s="8">
        <v>46058</v>
      </c>
      <c r="D402" s="9">
        <v>16951</v>
      </c>
    </row>
    <row r="403" spans="1:4">
      <c r="A403" t="s">
        <v>25</v>
      </c>
      <c r="B403" t="s">
        <v>175</v>
      </c>
      <c r="C403" s="8">
        <v>46058</v>
      </c>
      <c r="D403" s="9">
        <v>15219</v>
      </c>
    </row>
    <row r="404" spans="1:4">
      <c r="A404" t="s">
        <v>26</v>
      </c>
      <c r="B404" t="s">
        <v>83</v>
      </c>
      <c r="C404" s="8">
        <v>46058</v>
      </c>
      <c r="D404" s="9">
        <v>18486</v>
      </c>
    </row>
    <row r="405" spans="1:4">
      <c r="A405" t="s">
        <v>32</v>
      </c>
      <c r="B405" t="s">
        <v>233</v>
      </c>
      <c r="C405" s="8">
        <v>46058</v>
      </c>
      <c r="D405" s="9">
        <v>25917</v>
      </c>
    </row>
    <row r="406" spans="1:4">
      <c r="A406" t="s">
        <v>32</v>
      </c>
      <c r="B406" t="s">
        <v>224</v>
      </c>
      <c r="C406" s="8">
        <v>46058</v>
      </c>
      <c r="D406" s="9">
        <v>14493</v>
      </c>
    </row>
    <row r="407" spans="1:4">
      <c r="A407" t="s">
        <v>32</v>
      </c>
      <c r="B407" t="s">
        <v>273</v>
      </c>
      <c r="C407" s="8">
        <v>46058</v>
      </c>
      <c r="D407" s="9">
        <v>13113</v>
      </c>
    </row>
    <row r="408" spans="1:4">
      <c r="A408" t="s">
        <v>5</v>
      </c>
      <c r="B408" t="s">
        <v>181</v>
      </c>
      <c r="C408" s="8">
        <v>46058</v>
      </c>
      <c r="D408" s="9">
        <v>35513</v>
      </c>
    </row>
    <row r="409" spans="1:4">
      <c r="A409" t="s">
        <v>5</v>
      </c>
      <c r="B409" t="s">
        <v>181</v>
      </c>
      <c r="C409" s="8">
        <v>46058</v>
      </c>
      <c r="D409" s="9">
        <v>39529</v>
      </c>
    </row>
    <row r="410" spans="1:4">
      <c r="A410" t="s">
        <v>5</v>
      </c>
      <c r="B410" t="s">
        <v>103</v>
      </c>
      <c r="C410" s="8">
        <v>46058</v>
      </c>
      <c r="D410" s="9">
        <v>27749</v>
      </c>
    </row>
    <row r="411" spans="1:4">
      <c r="A411" t="s">
        <v>5</v>
      </c>
      <c r="B411" t="s">
        <v>80</v>
      </c>
      <c r="C411" s="8">
        <v>46058</v>
      </c>
      <c r="D411" s="9">
        <v>47503</v>
      </c>
    </row>
    <row r="412" spans="1:4">
      <c r="A412" t="s">
        <v>5</v>
      </c>
      <c r="B412" t="s">
        <v>196</v>
      </c>
      <c r="C412" s="8">
        <v>46058</v>
      </c>
      <c r="D412" s="9">
        <v>43387</v>
      </c>
    </row>
    <row r="413" spans="1:4">
      <c r="A413" t="s">
        <v>5</v>
      </c>
      <c r="B413" t="s">
        <v>174</v>
      </c>
      <c r="C413" s="8">
        <v>46058</v>
      </c>
      <c r="D413" s="9">
        <v>47531</v>
      </c>
    </row>
    <row r="414" spans="1:4">
      <c r="A414" t="s">
        <v>5</v>
      </c>
      <c r="B414" t="s">
        <v>141</v>
      </c>
      <c r="C414" s="8">
        <v>46058</v>
      </c>
      <c r="D414" s="9">
        <v>36718</v>
      </c>
    </row>
    <row r="415" spans="1:4">
      <c r="A415" t="s">
        <v>38</v>
      </c>
      <c r="B415" t="s">
        <v>69</v>
      </c>
      <c r="C415" s="8">
        <v>46059</v>
      </c>
      <c r="D415" s="9">
        <v>14348</v>
      </c>
    </row>
    <row r="416" spans="1:4">
      <c r="A416" t="s">
        <v>4</v>
      </c>
      <c r="B416" t="s">
        <v>147</v>
      </c>
      <c r="C416" s="8">
        <v>46059</v>
      </c>
      <c r="D416" s="9">
        <v>28283</v>
      </c>
    </row>
    <row r="417" spans="1:4">
      <c r="A417" t="s">
        <v>4</v>
      </c>
      <c r="B417" t="s">
        <v>196</v>
      </c>
      <c r="C417" s="8">
        <v>46059</v>
      </c>
      <c r="D417" s="9">
        <v>54175</v>
      </c>
    </row>
    <row r="418" spans="1:4">
      <c r="A418" t="s">
        <v>34</v>
      </c>
      <c r="B418" t="s">
        <v>215</v>
      </c>
      <c r="C418" s="8">
        <v>46059</v>
      </c>
      <c r="D418" s="9">
        <v>5918</v>
      </c>
    </row>
    <row r="419" spans="1:4">
      <c r="A419" t="s">
        <v>7</v>
      </c>
      <c r="B419" t="s">
        <v>100</v>
      </c>
      <c r="C419" s="8">
        <v>46059</v>
      </c>
      <c r="D419" s="9">
        <v>27682</v>
      </c>
    </row>
    <row r="420" spans="1:4">
      <c r="A420" t="s">
        <v>9</v>
      </c>
      <c r="B420" t="s">
        <v>144</v>
      </c>
      <c r="C420" s="8">
        <v>46059</v>
      </c>
      <c r="D420" s="9">
        <v>38173</v>
      </c>
    </row>
    <row r="421" spans="1:4">
      <c r="A421" t="s">
        <v>9</v>
      </c>
      <c r="B421" t="s">
        <v>137</v>
      </c>
      <c r="C421" s="8">
        <v>46059</v>
      </c>
      <c r="D421" s="9">
        <v>26907</v>
      </c>
    </row>
    <row r="422" spans="1:4">
      <c r="A422" t="s">
        <v>9</v>
      </c>
      <c r="B422" t="s">
        <v>195</v>
      </c>
      <c r="C422" s="8">
        <v>46059</v>
      </c>
      <c r="D422" s="9">
        <v>41036</v>
      </c>
    </row>
    <row r="423" spans="1:4">
      <c r="A423" t="s">
        <v>5</v>
      </c>
      <c r="B423" t="s">
        <v>96</v>
      </c>
      <c r="C423" s="8">
        <v>46059</v>
      </c>
      <c r="D423" s="9">
        <v>45186</v>
      </c>
    </row>
    <row r="424" spans="1:4">
      <c r="A424" t="s">
        <v>5</v>
      </c>
      <c r="B424" t="s">
        <v>190</v>
      </c>
      <c r="C424" s="8">
        <v>46059</v>
      </c>
      <c r="D424" s="9">
        <v>33446</v>
      </c>
    </row>
    <row r="425" spans="1:4">
      <c r="A425" t="s">
        <v>26</v>
      </c>
      <c r="B425" t="s">
        <v>232</v>
      </c>
      <c r="C425" s="8">
        <v>46060</v>
      </c>
      <c r="D425" s="9">
        <v>17618</v>
      </c>
    </row>
    <row r="426" spans="1:4">
      <c r="A426" t="s">
        <v>7</v>
      </c>
      <c r="B426" t="s">
        <v>267</v>
      </c>
      <c r="C426" s="8">
        <v>46060</v>
      </c>
      <c r="D426" s="9">
        <v>26244</v>
      </c>
    </row>
    <row r="427" spans="1:4">
      <c r="A427" t="s">
        <v>9</v>
      </c>
      <c r="B427" t="s">
        <v>227</v>
      </c>
      <c r="C427" s="8">
        <v>46060</v>
      </c>
      <c r="D427" s="9">
        <v>29040</v>
      </c>
    </row>
    <row r="428" spans="1:4">
      <c r="A428" t="s">
        <v>9</v>
      </c>
      <c r="B428" t="s">
        <v>136</v>
      </c>
      <c r="C428" s="8">
        <v>46060</v>
      </c>
      <c r="D428" s="9">
        <v>25766</v>
      </c>
    </row>
    <row r="429" spans="1:4">
      <c r="A429" t="s">
        <v>5</v>
      </c>
      <c r="B429" t="s">
        <v>196</v>
      </c>
      <c r="C429" s="8">
        <v>46060</v>
      </c>
      <c r="D429" s="9">
        <v>47985</v>
      </c>
    </row>
    <row r="430" spans="1:4">
      <c r="A430" t="s">
        <v>5</v>
      </c>
      <c r="B430" t="s">
        <v>196</v>
      </c>
      <c r="C430" s="8">
        <v>46060</v>
      </c>
      <c r="D430" s="9">
        <v>42054</v>
      </c>
    </row>
    <row r="431" spans="1:4">
      <c r="A431" t="s">
        <v>5</v>
      </c>
      <c r="B431" t="s">
        <v>168</v>
      </c>
      <c r="C431" s="8">
        <v>46060</v>
      </c>
      <c r="D431" s="9">
        <v>32250</v>
      </c>
    </row>
    <row r="432" spans="1:4">
      <c r="A432" t="s">
        <v>5</v>
      </c>
      <c r="B432" t="s">
        <v>174</v>
      </c>
      <c r="C432" s="8">
        <v>46060</v>
      </c>
      <c r="D432" s="9">
        <v>36839</v>
      </c>
    </row>
    <row r="433" spans="1:4">
      <c r="A433" t="s">
        <v>4</v>
      </c>
      <c r="B433" t="s">
        <v>201</v>
      </c>
      <c r="C433" s="8">
        <v>46061</v>
      </c>
      <c r="D433" s="9">
        <v>32700</v>
      </c>
    </row>
    <row r="434" spans="1:4">
      <c r="A434" t="s">
        <v>31</v>
      </c>
      <c r="B434" t="s">
        <v>207</v>
      </c>
      <c r="C434" s="8">
        <v>46061</v>
      </c>
      <c r="D434" s="9">
        <v>18508</v>
      </c>
    </row>
    <row r="435" spans="1:4">
      <c r="A435" t="s">
        <v>26</v>
      </c>
      <c r="B435" t="s">
        <v>179</v>
      </c>
      <c r="C435" s="8">
        <v>46061</v>
      </c>
      <c r="D435" s="9">
        <v>15129</v>
      </c>
    </row>
    <row r="436" spans="1:4">
      <c r="A436" t="s">
        <v>6</v>
      </c>
      <c r="B436" t="s">
        <v>176</v>
      </c>
      <c r="C436" s="8">
        <v>46061</v>
      </c>
      <c r="D436" s="9">
        <v>24597</v>
      </c>
    </row>
    <row r="437" spans="1:4">
      <c r="A437" t="s">
        <v>9</v>
      </c>
      <c r="B437" t="s">
        <v>172</v>
      </c>
      <c r="C437" s="8">
        <v>46061</v>
      </c>
      <c r="D437" s="9">
        <v>36877</v>
      </c>
    </row>
    <row r="438" spans="1:4">
      <c r="A438" t="s">
        <v>5</v>
      </c>
      <c r="B438" t="s">
        <v>202</v>
      </c>
      <c r="C438" s="8">
        <v>46061</v>
      </c>
      <c r="D438" s="9">
        <v>33570</v>
      </c>
    </row>
    <row r="439" spans="1:4">
      <c r="A439" t="s">
        <v>5</v>
      </c>
      <c r="B439" t="s">
        <v>168</v>
      </c>
      <c r="C439" s="8">
        <v>46061</v>
      </c>
      <c r="D439" s="9">
        <v>38877</v>
      </c>
    </row>
    <row r="440" spans="1:4">
      <c r="A440" t="s">
        <v>5</v>
      </c>
      <c r="B440" t="s">
        <v>53</v>
      </c>
      <c r="C440" s="8">
        <v>46061</v>
      </c>
      <c r="D440" s="9">
        <v>42292</v>
      </c>
    </row>
    <row r="441" spans="1:4">
      <c r="A441" t="s">
        <v>5</v>
      </c>
      <c r="B441" t="s">
        <v>125</v>
      </c>
      <c r="C441" s="8">
        <v>46061</v>
      </c>
      <c r="D441" s="9">
        <v>59587</v>
      </c>
    </row>
    <row r="442" spans="1:4">
      <c r="A442" t="s">
        <v>27</v>
      </c>
      <c r="B442" t="s">
        <v>162</v>
      </c>
      <c r="C442" s="8">
        <v>46062</v>
      </c>
      <c r="D442" s="9">
        <v>21905</v>
      </c>
    </row>
    <row r="443" spans="1:4">
      <c r="A443" t="s">
        <v>4</v>
      </c>
      <c r="B443" t="s">
        <v>62</v>
      </c>
      <c r="C443" s="8">
        <v>46062</v>
      </c>
      <c r="D443" s="9">
        <v>47580</v>
      </c>
    </row>
    <row r="444" spans="1:4">
      <c r="A444" t="s">
        <v>4</v>
      </c>
      <c r="B444" t="s">
        <v>193</v>
      </c>
      <c r="C444" s="8">
        <v>46062</v>
      </c>
      <c r="D444" s="9">
        <v>37234</v>
      </c>
    </row>
    <row r="445" spans="1:4">
      <c r="A445" t="s">
        <v>4</v>
      </c>
      <c r="B445" t="s">
        <v>185</v>
      </c>
      <c r="C445" s="8">
        <v>46062</v>
      </c>
      <c r="D445" s="9">
        <v>31694</v>
      </c>
    </row>
    <row r="446" spans="1:4">
      <c r="A446" t="s">
        <v>4</v>
      </c>
      <c r="B446" t="s">
        <v>279</v>
      </c>
      <c r="C446" s="8">
        <v>46062</v>
      </c>
      <c r="D446" s="9">
        <v>44854</v>
      </c>
    </row>
    <row r="447" spans="1:4">
      <c r="A447" t="s">
        <v>28</v>
      </c>
      <c r="B447" t="s">
        <v>254</v>
      </c>
      <c r="C447" s="8">
        <v>46062</v>
      </c>
      <c r="D447" s="9">
        <v>15599</v>
      </c>
    </row>
    <row r="448" spans="1:4">
      <c r="A448" t="s">
        <v>8</v>
      </c>
      <c r="B448" t="s">
        <v>49</v>
      </c>
      <c r="C448" s="8">
        <v>46062</v>
      </c>
      <c r="D448" s="9">
        <v>24131</v>
      </c>
    </row>
    <row r="449" spans="1:4">
      <c r="A449" t="s">
        <v>7</v>
      </c>
      <c r="B449" t="s">
        <v>77</v>
      </c>
      <c r="C449" s="8">
        <v>46062</v>
      </c>
      <c r="D449" s="9">
        <v>27417</v>
      </c>
    </row>
    <row r="450" spans="1:4">
      <c r="A450" t="s">
        <v>9</v>
      </c>
      <c r="B450" t="s">
        <v>94</v>
      </c>
      <c r="C450" s="8">
        <v>46062</v>
      </c>
      <c r="D450" s="9">
        <v>40388</v>
      </c>
    </row>
    <row r="451" spans="1:4">
      <c r="A451" t="s">
        <v>5</v>
      </c>
      <c r="B451" t="s">
        <v>81</v>
      </c>
      <c r="C451" s="8">
        <v>46062</v>
      </c>
      <c r="D451" s="9">
        <v>36993</v>
      </c>
    </row>
    <row r="452" spans="1:4">
      <c r="A452" t="s">
        <v>5</v>
      </c>
      <c r="B452" t="s">
        <v>243</v>
      </c>
      <c r="C452" s="8">
        <v>46062</v>
      </c>
      <c r="D452" s="9">
        <v>37495</v>
      </c>
    </row>
    <row r="453" spans="1:4">
      <c r="A453" t="s">
        <v>5</v>
      </c>
      <c r="B453" t="s">
        <v>139</v>
      </c>
      <c r="C453" s="8">
        <v>46062</v>
      </c>
      <c r="D453" s="9">
        <v>42152</v>
      </c>
    </row>
    <row r="454" spans="1:4">
      <c r="A454" t="s">
        <v>4</v>
      </c>
      <c r="B454" t="s">
        <v>241</v>
      </c>
      <c r="C454" s="8">
        <v>46063</v>
      </c>
      <c r="D454" s="9">
        <v>43149</v>
      </c>
    </row>
    <row r="455" spans="1:4">
      <c r="A455" t="s">
        <v>31</v>
      </c>
      <c r="B455" t="s">
        <v>107</v>
      </c>
      <c r="C455" s="8">
        <v>46063</v>
      </c>
      <c r="D455" s="9">
        <v>12087</v>
      </c>
    </row>
    <row r="456" spans="1:4">
      <c r="A456" t="s">
        <v>25</v>
      </c>
      <c r="B456" t="s">
        <v>250</v>
      </c>
      <c r="C456" s="8">
        <v>46063</v>
      </c>
      <c r="D456" s="9">
        <v>19897</v>
      </c>
    </row>
    <row r="457" spans="1:4">
      <c r="A457" t="s">
        <v>25</v>
      </c>
      <c r="B457" t="s">
        <v>194</v>
      </c>
      <c r="C457" s="8">
        <v>46063</v>
      </c>
      <c r="D457" s="9">
        <v>20183</v>
      </c>
    </row>
    <row r="458" spans="1:4">
      <c r="A458" t="s">
        <v>26</v>
      </c>
      <c r="B458" t="s">
        <v>281</v>
      </c>
      <c r="C458" s="8">
        <v>46063</v>
      </c>
      <c r="D458" s="9">
        <v>15685</v>
      </c>
    </row>
    <row r="459" spans="1:4">
      <c r="A459" t="s">
        <v>6</v>
      </c>
      <c r="B459" t="s">
        <v>234</v>
      </c>
      <c r="C459" s="8">
        <v>46063</v>
      </c>
      <c r="D459" s="9">
        <v>22388</v>
      </c>
    </row>
    <row r="460" spans="1:4">
      <c r="A460" t="s">
        <v>6</v>
      </c>
      <c r="B460" t="s">
        <v>164</v>
      </c>
      <c r="C460" s="8">
        <v>46063</v>
      </c>
      <c r="D460" s="9">
        <v>28024</v>
      </c>
    </row>
    <row r="461" spans="1:4">
      <c r="A461" t="s">
        <v>6</v>
      </c>
      <c r="B461" t="s">
        <v>203</v>
      </c>
      <c r="C461" s="8">
        <v>46063</v>
      </c>
      <c r="D461" s="9">
        <v>24398</v>
      </c>
    </row>
    <row r="462" spans="1:4">
      <c r="A462" t="s">
        <v>7</v>
      </c>
      <c r="B462" t="s">
        <v>276</v>
      </c>
      <c r="C462" s="8">
        <v>46063</v>
      </c>
      <c r="D462" s="9">
        <v>30492</v>
      </c>
    </row>
    <row r="463" spans="1:4">
      <c r="A463" t="s">
        <v>9</v>
      </c>
      <c r="B463" t="s">
        <v>50</v>
      </c>
      <c r="C463" s="8">
        <v>46063</v>
      </c>
      <c r="D463" s="9">
        <v>12764</v>
      </c>
    </row>
    <row r="464" spans="1:4">
      <c r="A464" t="s">
        <v>9</v>
      </c>
      <c r="B464" t="s">
        <v>178</v>
      </c>
      <c r="C464" s="8">
        <v>46063</v>
      </c>
      <c r="D464" s="9">
        <v>33250</v>
      </c>
    </row>
    <row r="465" spans="1:4">
      <c r="A465" t="s">
        <v>9</v>
      </c>
      <c r="B465" t="s">
        <v>131</v>
      </c>
      <c r="C465" s="8">
        <v>46063</v>
      </c>
      <c r="D465" s="9">
        <v>28653</v>
      </c>
    </row>
    <row r="466" spans="1:4">
      <c r="A466" t="s">
        <v>5</v>
      </c>
      <c r="B466" t="s">
        <v>115</v>
      </c>
      <c r="C466" s="8">
        <v>46063</v>
      </c>
      <c r="D466" s="9">
        <v>40518</v>
      </c>
    </row>
    <row r="467" spans="1:4">
      <c r="A467" t="s">
        <v>5</v>
      </c>
      <c r="B467" t="s">
        <v>184</v>
      </c>
      <c r="C467" s="8">
        <v>46063</v>
      </c>
      <c r="D467" s="9">
        <v>42072</v>
      </c>
    </row>
    <row r="468" spans="1:4">
      <c r="A468" t="s">
        <v>5</v>
      </c>
      <c r="B468" t="s">
        <v>206</v>
      </c>
      <c r="C468" s="8">
        <v>46063</v>
      </c>
      <c r="D468" s="9">
        <v>43689</v>
      </c>
    </row>
    <row r="469" spans="1:4">
      <c r="A469" t="s">
        <v>5</v>
      </c>
      <c r="B469" t="s">
        <v>202</v>
      </c>
      <c r="C469" s="8">
        <v>46063</v>
      </c>
      <c r="D469" s="9">
        <v>35800</v>
      </c>
    </row>
    <row r="470" spans="1:4">
      <c r="A470" t="s">
        <v>4</v>
      </c>
      <c r="B470" t="s">
        <v>271</v>
      </c>
      <c r="C470" s="8">
        <v>46064</v>
      </c>
      <c r="D470" s="9">
        <v>10255</v>
      </c>
    </row>
    <row r="471" spans="1:4">
      <c r="A471" t="s">
        <v>4</v>
      </c>
      <c r="B471" t="s">
        <v>147</v>
      </c>
      <c r="C471" s="8">
        <v>46064</v>
      </c>
      <c r="D471" s="9">
        <v>22639</v>
      </c>
    </row>
    <row r="472" spans="1:4">
      <c r="A472" t="s">
        <v>4</v>
      </c>
      <c r="B472" t="s">
        <v>243</v>
      </c>
      <c r="C472" s="8">
        <v>46064</v>
      </c>
      <c r="D472" s="9">
        <v>36400</v>
      </c>
    </row>
    <row r="473" spans="1:4">
      <c r="A473" t="s">
        <v>4</v>
      </c>
      <c r="B473" t="s">
        <v>260</v>
      </c>
      <c r="C473" s="8">
        <v>46064</v>
      </c>
      <c r="D473" s="9">
        <v>24603</v>
      </c>
    </row>
    <row r="474" spans="1:4">
      <c r="A474" t="s">
        <v>28</v>
      </c>
      <c r="B474" t="s">
        <v>121</v>
      </c>
      <c r="C474" s="8">
        <v>46064</v>
      </c>
      <c r="D474" s="9">
        <v>8319</v>
      </c>
    </row>
    <row r="475" spans="1:4">
      <c r="A475" t="s">
        <v>8</v>
      </c>
      <c r="B475" t="s">
        <v>86</v>
      </c>
      <c r="C475" s="8">
        <v>46064</v>
      </c>
      <c r="D475" s="9">
        <v>18357</v>
      </c>
    </row>
    <row r="476" spans="1:4">
      <c r="A476" t="s">
        <v>29</v>
      </c>
      <c r="B476" t="s">
        <v>149</v>
      </c>
      <c r="C476" s="8">
        <v>46064</v>
      </c>
      <c r="D476" s="9">
        <v>29322</v>
      </c>
    </row>
    <row r="477" spans="1:4">
      <c r="A477" t="s">
        <v>7</v>
      </c>
      <c r="B477" t="s">
        <v>214</v>
      </c>
      <c r="C477" s="8">
        <v>46064</v>
      </c>
      <c r="D477" s="9">
        <v>48663</v>
      </c>
    </row>
    <row r="478" spans="1:4">
      <c r="A478" t="s">
        <v>37</v>
      </c>
      <c r="B478" t="s">
        <v>248</v>
      </c>
      <c r="C478" s="8">
        <v>46064</v>
      </c>
      <c r="D478" s="9">
        <v>13794</v>
      </c>
    </row>
    <row r="479" spans="1:4">
      <c r="A479" t="s">
        <v>9</v>
      </c>
      <c r="B479" t="s">
        <v>277</v>
      </c>
      <c r="C479" s="8">
        <v>46064</v>
      </c>
      <c r="D479" s="9">
        <v>41670</v>
      </c>
    </row>
    <row r="480" spans="1:4">
      <c r="A480" t="s">
        <v>9</v>
      </c>
      <c r="B480" t="s">
        <v>78</v>
      </c>
      <c r="C480" s="8">
        <v>46064</v>
      </c>
      <c r="D480" s="9">
        <v>45406</v>
      </c>
    </row>
    <row r="481" spans="1:4">
      <c r="A481" t="s">
        <v>9</v>
      </c>
      <c r="B481" t="s">
        <v>258</v>
      </c>
      <c r="C481" s="8">
        <v>46064</v>
      </c>
      <c r="D481" s="9">
        <v>34429</v>
      </c>
    </row>
    <row r="482" spans="1:4">
      <c r="A482" t="s">
        <v>9</v>
      </c>
      <c r="B482" t="s">
        <v>137</v>
      </c>
      <c r="C482" s="8">
        <v>46064</v>
      </c>
      <c r="D482" s="9">
        <v>28240</v>
      </c>
    </row>
    <row r="483" spans="1:4">
      <c r="A483" t="s">
        <v>9</v>
      </c>
      <c r="B483" t="s">
        <v>166</v>
      </c>
      <c r="C483" s="8">
        <v>46064</v>
      </c>
      <c r="D483" s="9">
        <v>29301</v>
      </c>
    </row>
    <row r="484" spans="1:4">
      <c r="A484" t="s">
        <v>5</v>
      </c>
      <c r="B484" t="s">
        <v>124</v>
      </c>
      <c r="C484" s="8">
        <v>46064</v>
      </c>
      <c r="D484" s="9">
        <v>42420</v>
      </c>
    </row>
    <row r="485" spans="1:4">
      <c r="A485" t="s">
        <v>5</v>
      </c>
      <c r="B485" t="s">
        <v>190</v>
      </c>
      <c r="C485" s="8">
        <v>46064</v>
      </c>
      <c r="D485" s="9">
        <v>28172</v>
      </c>
    </row>
    <row r="486" spans="1:4">
      <c r="A486" t="s">
        <v>35</v>
      </c>
      <c r="B486" t="s">
        <v>210</v>
      </c>
      <c r="C486" s="8">
        <v>46065</v>
      </c>
      <c r="D486" s="9">
        <v>8172</v>
      </c>
    </row>
    <row r="487" spans="1:4">
      <c r="A487" t="s">
        <v>4</v>
      </c>
      <c r="B487" t="s">
        <v>116</v>
      </c>
      <c r="C487" s="8">
        <v>46065</v>
      </c>
      <c r="D487" s="9">
        <v>22281</v>
      </c>
    </row>
    <row r="488" spans="1:4">
      <c r="A488" t="s">
        <v>4</v>
      </c>
      <c r="B488" t="s">
        <v>230</v>
      </c>
      <c r="C488" s="8">
        <v>46065</v>
      </c>
      <c r="D488" s="9">
        <v>30786</v>
      </c>
    </row>
    <row r="489" spans="1:4">
      <c r="A489" t="s">
        <v>26</v>
      </c>
      <c r="B489" t="s">
        <v>251</v>
      </c>
      <c r="C489" s="8">
        <v>46065</v>
      </c>
      <c r="D489" s="9">
        <v>13308</v>
      </c>
    </row>
    <row r="490" spans="1:4">
      <c r="A490" t="s">
        <v>30</v>
      </c>
      <c r="B490" t="s">
        <v>56</v>
      </c>
      <c r="C490" s="8">
        <v>46065</v>
      </c>
      <c r="D490" s="9">
        <v>15537</v>
      </c>
    </row>
    <row r="491" spans="1:4">
      <c r="A491" t="s">
        <v>6</v>
      </c>
      <c r="B491" t="s">
        <v>217</v>
      </c>
      <c r="C491" s="8">
        <v>46065</v>
      </c>
      <c r="D491" s="9">
        <v>28485</v>
      </c>
    </row>
    <row r="492" spans="1:4">
      <c r="A492" t="s">
        <v>7</v>
      </c>
      <c r="B492" t="s">
        <v>75</v>
      </c>
      <c r="C492" s="8">
        <v>46065</v>
      </c>
      <c r="D492" s="9">
        <v>7506</v>
      </c>
    </row>
    <row r="493" spans="1:4">
      <c r="A493" t="s">
        <v>7</v>
      </c>
      <c r="B493" t="s">
        <v>113</v>
      </c>
      <c r="C493" s="8">
        <v>46065</v>
      </c>
      <c r="D493" s="9">
        <v>13482</v>
      </c>
    </row>
    <row r="494" spans="1:4">
      <c r="A494" t="s">
        <v>9</v>
      </c>
      <c r="B494" t="s">
        <v>102</v>
      </c>
      <c r="C494" s="8">
        <v>46065</v>
      </c>
      <c r="D494" s="9">
        <v>40330</v>
      </c>
    </row>
    <row r="495" spans="1:4">
      <c r="A495" t="s">
        <v>5</v>
      </c>
      <c r="B495" t="s">
        <v>115</v>
      </c>
      <c r="C495" s="8">
        <v>46065</v>
      </c>
      <c r="D495" s="9">
        <v>28698</v>
      </c>
    </row>
    <row r="496" spans="1:4">
      <c r="A496" t="s">
        <v>5</v>
      </c>
      <c r="B496" t="s">
        <v>124</v>
      </c>
      <c r="C496" s="8">
        <v>46065</v>
      </c>
      <c r="D496" s="9">
        <v>45379</v>
      </c>
    </row>
    <row r="497" spans="1:4">
      <c r="A497" t="s">
        <v>5</v>
      </c>
      <c r="B497" t="s">
        <v>81</v>
      </c>
      <c r="C497" s="8">
        <v>46065</v>
      </c>
      <c r="D497" s="9">
        <v>36300</v>
      </c>
    </row>
    <row r="498" spans="1:4">
      <c r="A498" t="s">
        <v>5</v>
      </c>
      <c r="B498" t="s">
        <v>95</v>
      </c>
      <c r="C498" s="8">
        <v>46065</v>
      </c>
      <c r="D498" s="9">
        <v>39900</v>
      </c>
    </row>
    <row r="499" spans="1:4">
      <c r="A499" t="s">
        <v>5</v>
      </c>
      <c r="B499" t="s">
        <v>167</v>
      </c>
      <c r="C499" s="8">
        <v>46065</v>
      </c>
      <c r="D499" s="9">
        <v>38713</v>
      </c>
    </row>
    <row r="500" spans="1:4">
      <c r="A500" t="s">
        <v>5</v>
      </c>
      <c r="B500" t="s">
        <v>105</v>
      </c>
      <c r="C500" s="8">
        <v>46065</v>
      </c>
      <c r="D500" s="9">
        <v>59620</v>
      </c>
    </row>
    <row r="501" spans="1:4">
      <c r="A501" t="s">
        <v>27</v>
      </c>
      <c r="B501" t="s">
        <v>97</v>
      </c>
      <c r="C501" s="8">
        <v>46066</v>
      </c>
      <c r="D501" s="9">
        <v>18692</v>
      </c>
    </row>
    <row r="502" spans="1:4">
      <c r="A502" t="s">
        <v>4</v>
      </c>
      <c r="B502" t="s">
        <v>61</v>
      </c>
      <c r="C502" s="8">
        <v>46066</v>
      </c>
      <c r="D502" s="9">
        <v>37761</v>
      </c>
    </row>
    <row r="503" spans="1:4">
      <c r="A503" t="s">
        <v>28</v>
      </c>
      <c r="B503" t="s">
        <v>154</v>
      </c>
      <c r="C503" s="8">
        <v>46066</v>
      </c>
      <c r="D503" s="9">
        <v>14620</v>
      </c>
    </row>
    <row r="504" spans="1:4">
      <c r="A504" t="s">
        <v>8</v>
      </c>
      <c r="B504" t="s">
        <v>194</v>
      </c>
      <c r="C504" s="8">
        <v>46066</v>
      </c>
      <c r="D504" s="9">
        <v>24803</v>
      </c>
    </row>
    <row r="505" spans="1:4">
      <c r="A505" t="s">
        <v>8</v>
      </c>
      <c r="B505" t="s">
        <v>246</v>
      </c>
      <c r="C505" s="8">
        <v>46066</v>
      </c>
      <c r="D505" s="9">
        <v>21150</v>
      </c>
    </row>
    <row r="506" spans="1:4">
      <c r="A506" t="s">
        <v>6</v>
      </c>
      <c r="B506" t="s">
        <v>89</v>
      </c>
      <c r="C506" s="8">
        <v>46066</v>
      </c>
      <c r="D506" s="9">
        <v>27363</v>
      </c>
    </row>
    <row r="507" spans="1:4">
      <c r="A507" t="s">
        <v>29</v>
      </c>
      <c r="B507" t="s">
        <v>165</v>
      </c>
      <c r="C507" s="8">
        <v>46066</v>
      </c>
      <c r="D507" s="9">
        <v>15375</v>
      </c>
    </row>
    <row r="508" spans="1:4">
      <c r="A508" t="s">
        <v>7</v>
      </c>
      <c r="B508" t="s">
        <v>180</v>
      </c>
      <c r="C508" s="8">
        <v>46066</v>
      </c>
      <c r="D508" s="9">
        <v>27461</v>
      </c>
    </row>
    <row r="509" spans="1:4">
      <c r="A509" t="s">
        <v>9</v>
      </c>
      <c r="B509" t="s">
        <v>92</v>
      </c>
      <c r="C509" s="8">
        <v>46066</v>
      </c>
      <c r="D509" s="9">
        <v>40070</v>
      </c>
    </row>
    <row r="510" spans="1:4">
      <c r="A510" t="s">
        <v>5</v>
      </c>
      <c r="B510" t="s">
        <v>110</v>
      </c>
      <c r="C510" s="8">
        <v>46066</v>
      </c>
      <c r="D510" s="9">
        <v>43502</v>
      </c>
    </row>
    <row r="511" spans="1:4">
      <c r="A511" t="s">
        <v>5</v>
      </c>
      <c r="B511" t="s">
        <v>184</v>
      </c>
      <c r="C511" s="8">
        <v>46066</v>
      </c>
      <c r="D511" s="9">
        <v>46505</v>
      </c>
    </row>
    <row r="512" spans="1:4">
      <c r="A512" t="s">
        <v>5</v>
      </c>
      <c r="B512" t="s">
        <v>205</v>
      </c>
      <c r="C512" s="8">
        <v>46066</v>
      </c>
      <c r="D512" s="9">
        <v>36084</v>
      </c>
    </row>
    <row r="513" spans="1:4">
      <c r="A513" t="s">
        <v>4</v>
      </c>
      <c r="B513" t="s">
        <v>181</v>
      </c>
      <c r="C513" s="8">
        <v>46067</v>
      </c>
      <c r="D513" s="9">
        <v>42515</v>
      </c>
    </row>
    <row r="514" spans="1:4">
      <c r="A514" t="s">
        <v>8</v>
      </c>
      <c r="B514" t="s">
        <v>170</v>
      </c>
      <c r="C514" s="8">
        <v>46067</v>
      </c>
      <c r="D514" s="9">
        <v>22877</v>
      </c>
    </row>
    <row r="515" spans="1:4">
      <c r="A515" t="s">
        <v>6</v>
      </c>
      <c r="B515" t="s">
        <v>72</v>
      </c>
      <c r="C515" s="8">
        <v>46067</v>
      </c>
      <c r="D515" s="9">
        <v>21096</v>
      </c>
    </row>
    <row r="516" spans="1:4">
      <c r="A516" t="s">
        <v>29</v>
      </c>
      <c r="B516" t="s">
        <v>226</v>
      </c>
      <c r="C516" s="8">
        <v>46067</v>
      </c>
      <c r="D516" s="9">
        <v>13549</v>
      </c>
    </row>
    <row r="517" spans="1:4">
      <c r="A517" t="s">
        <v>7</v>
      </c>
      <c r="B517" t="s">
        <v>171</v>
      </c>
      <c r="C517" s="8">
        <v>46067</v>
      </c>
      <c r="D517" s="9">
        <v>20757</v>
      </c>
    </row>
    <row r="518" spans="1:4">
      <c r="A518" t="s">
        <v>9</v>
      </c>
      <c r="B518" t="s">
        <v>269</v>
      </c>
      <c r="C518" s="8">
        <v>46067</v>
      </c>
      <c r="D518" s="9">
        <v>23285</v>
      </c>
    </row>
    <row r="519" spans="1:4">
      <c r="A519" t="s">
        <v>9</v>
      </c>
      <c r="B519" t="s">
        <v>51</v>
      </c>
      <c r="C519" s="8">
        <v>46067</v>
      </c>
      <c r="D519" s="9">
        <v>41552</v>
      </c>
    </row>
    <row r="520" spans="1:4">
      <c r="A520" t="s">
        <v>9</v>
      </c>
      <c r="B520" t="s">
        <v>51</v>
      </c>
      <c r="C520" s="8">
        <v>46067</v>
      </c>
      <c r="D520" s="9">
        <v>41561</v>
      </c>
    </row>
    <row r="521" spans="1:4">
      <c r="A521" t="s">
        <v>5</v>
      </c>
      <c r="B521" t="s">
        <v>209</v>
      </c>
      <c r="C521" s="8">
        <v>46067</v>
      </c>
      <c r="D521" s="9">
        <v>41516</v>
      </c>
    </row>
    <row r="522" spans="1:4">
      <c r="A522" t="s">
        <v>5</v>
      </c>
      <c r="B522" t="s">
        <v>117</v>
      </c>
      <c r="C522" s="8">
        <v>46067</v>
      </c>
      <c r="D522" s="9">
        <v>39913</v>
      </c>
    </row>
    <row r="523" spans="1:4">
      <c r="A523" t="s">
        <v>5</v>
      </c>
      <c r="B523" t="s">
        <v>212</v>
      </c>
      <c r="C523" s="8">
        <v>46067</v>
      </c>
      <c r="D523" s="9">
        <v>36105</v>
      </c>
    </row>
    <row r="524" spans="1:4">
      <c r="A524" t="s">
        <v>31</v>
      </c>
      <c r="B524" t="s">
        <v>253</v>
      </c>
      <c r="C524" s="8">
        <v>46068</v>
      </c>
      <c r="D524" s="9">
        <v>14842</v>
      </c>
    </row>
    <row r="525" spans="1:4">
      <c r="A525" t="s">
        <v>8</v>
      </c>
      <c r="B525" t="s">
        <v>148</v>
      </c>
      <c r="C525" s="8">
        <v>46068</v>
      </c>
      <c r="D525" s="9">
        <v>19404</v>
      </c>
    </row>
    <row r="526" spans="1:4">
      <c r="A526" t="s">
        <v>6</v>
      </c>
      <c r="B526" t="s">
        <v>123</v>
      </c>
      <c r="C526" s="8">
        <v>46068</v>
      </c>
      <c r="D526" s="9">
        <v>23859</v>
      </c>
    </row>
    <row r="527" spans="1:4">
      <c r="A527" t="s">
        <v>6</v>
      </c>
      <c r="B527" t="s">
        <v>216</v>
      </c>
      <c r="C527" s="8">
        <v>46068</v>
      </c>
      <c r="D527" s="9">
        <v>15237</v>
      </c>
    </row>
    <row r="528" spans="1:4">
      <c r="A528" t="s">
        <v>9</v>
      </c>
      <c r="B528" t="s">
        <v>221</v>
      </c>
      <c r="C528" s="8">
        <v>46068</v>
      </c>
      <c r="D528" s="9">
        <v>53984</v>
      </c>
    </row>
    <row r="529" spans="1:4">
      <c r="A529" t="s">
        <v>9</v>
      </c>
      <c r="B529" t="s">
        <v>88</v>
      </c>
      <c r="C529" s="8">
        <v>46068</v>
      </c>
      <c r="D529" s="9">
        <v>55916</v>
      </c>
    </row>
    <row r="530" spans="1:4">
      <c r="A530" t="s">
        <v>9</v>
      </c>
      <c r="B530" t="s">
        <v>187</v>
      </c>
      <c r="C530" s="8">
        <v>46068</v>
      </c>
      <c r="D530" s="9">
        <v>47249</v>
      </c>
    </row>
    <row r="531" spans="1:4">
      <c r="A531" t="s">
        <v>5</v>
      </c>
      <c r="B531" t="s">
        <v>115</v>
      </c>
      <c r="C531" s="8">
        <v>46068</v>
      </c>
      <c r="D531" s="9">
        <v>32407</v>
      </c>
    </row>
    <row r="532" spans="1:4">
      <c r="A532" t="s">
        <v>5</v>
      </c>
      <c r="B532" t="s">
        <v>132</v>
      </c>
      <c r="C532" s="8">
        <v>46068</v>
      </c>
      <c r="D532" s="9">
        <v>34180</v>
      </c>
    </row>
    <row r="533" spans="1:4">
      <c r="A533" t="s">
        <v>5</v>
      </c>
      <c r="B533" t="s">
        <v>139</v>
      </c>
      <c r="C533" s="8">
        <v>46068</v>
      </c>
      <c r="D533" s="9">
        <v>53495</v>
      </c>
    </row>
    <row r="534" spans="1:4">
      <c r="A534" t="s">
        <v>5</v>
      </c>
      <c r="B534" t="s">
        <v>168</v>
      </c>
      <c r="C534" s="8">
        <v>46068</v>
      </c>
      <c r="D534" s="9">
        <v>50457</v>
      </c>
    </row>
    <row r="535" spans="1:4">
      <c r="A535" t="s">
        <v>5</v>
      </c>
      <c r="B535" t="s">
        <v>140</v>
      </c>
      <c r="C535" s="8">
        <v>46068</v>
      </c>
      <c r="D535" s="9">
        <v>18477</v>
      </c>
    </row>
    <row r="536" spans="1:4">
      <c r="A536" t="s">
        <v>5</v>
      </c>
      <c r="B536" t="s">
        <v>125</v>
      </c>
      <c r="C536" s="8">
        <v>46068</v>
      </c>
      <c r="D536" s="9">
        <v>56193</v>
      </c>
    </row>
    <row r="537" spans="1:4">
      <c r="A537" t="s">
        <v>5</v>
      </c>
      <c r="B537" t="s">
        <v>195</v>
      </c>
      <c r="C537" s="8">
        <v>46068</v>
      </c>
      <c r="D537" s="9">
        <v>30593</v>
      </c>
    </row>
    <row r="538" spans="1:4">
      <c r="A538" t="s">
        <v>35</v>
      </c>
      <c r="B538" t="s">
        <v>58</v>
      </c>
      <c r="C538" s="8">
        <v>46069</v>
      </c>
      <c r="D538" s="9">
        <v>9957</v>
      </c>
    </row>
    <row r="539" spans="1:4">
      <c r="A539" t="s">
        <v>4</v>
      </c>
      <c r="B539" t="s">
        <v>93</v>
      </c>
      <c r="C539" s="8">
        <v>46069</v>
      </c>
      <c r="D539" s="9">
        <v>45426</v>
      </c>
    </row>
    <row r="540" spans="1:4">
      <c r="A540" t="s">
        <v>26</v>
      </c>
      <c r="B540" t="s">
        <v>278</v>
      </c>
      <c r="C540" s="8">
        <v>46069</v>
      </c>
      <c r="D540" s="9">
        <v>25669</v>
      </c>
    </row>
    <row r="541" spans="1:4">
      <c r="A541" t="s">
        <v>26</v>
      </c>
      <c r="B541" t="s">
        <v>223</v>
      </c>
      <c r="C541" s="8">
        <v>46069</v>
      </c>
      <c r="D541" s="9">
        <v>27321</v>
      </c>
    </row>
    <row r="542" spans="1:4">
      <c r="A542" t="s">
        <v>7</v>
      </c>
      <c r="B542" t="s">
        <v>236</v>
      </c>
      <c r="C542" s="8">
        <v>46069</v>
      </c>
      <c r="D542" s="9">
        <v>34630</v>
      </c>
    </row>
    <row r="543" spans="1:4">
      <c r="A543" t="s">
        <v>9</v>
      </c>
      <c r="B543" t="s">
        <v>190</v>
      </c>
      <c r="C543" s="8">
        <v>46069</v>
      </c>
      <c r="D543" s="9">
        <v>40059</v>
      </c>
    </row>
    <row r="544" spans="1:4">
      <c r="A544" t="s">
        <v>9</v>
      </c>
      <c r="B544" t="s">
        <v>79</v>
      </c>
      <c r="C544" s="8">
        <v>46069</v>
      </c>
      <c r="D544" s="9">
        <v>50335</v>
      </c>
    </row>
    <row r="545" spans="1:4">
      <c r="A545" t="s">
        <v>9</v>
      </c>
      <c r="B545" t="s">
        <v>57</v>
      </c>
      <c r="C545" s="8">
        <v>46069</v>
      </c>
      <c r="D545" s="9">
        <v>24312</v>
      </c>
    </row>
    <row r="546" spans="1:4">
      <c r="A546" t="s">
        <v>5</v>
      </c>
      <c r="B546" t="s">
        <v>197</v>
      </c>
      <c r="C546" s="8">
        <v>46069</v>
      </c>
      <c r="D546" s="9">
        <v>30098</v>
      </c>
    </row>
    <row r="547" spans="1:4">
      <c r="A547" t="s">
        <v>5</v>
      </c>
      <c r="B547" t="s">
        <v>188</v>
      </c>
      <c r="C547" s="8">
        <v>46069</v>
      </c>
      <c r="D547" s="9">
        <v>38977</v>
      </c>
    </row>
    <row r="548" spans="1:4">
      <c r="A548" t="s">
        <v>5</v>
      </c>
      <c r="B548" t="s">
        <v>53</v>
      </c>
      <c r="C548" s="8">
        <v>46069</v>
      </c>
      <c r="D548" s="9">
        <v>46549</v>
      </c>
    </row>
    <row r="549" spans="1:4">
      <c r="A549" t="s">
        <v>27</v>
      </c>
      <c r="B549" t="s">
        <v>160</v>
      </c>
      <c r="C549" s="8">
        <v>46070</v>
      </c>
      <c r="D549" s="9">
        <v>16828</v>
      </c>
    </row>
    <row r="550" spans="1:4">
      <c r="A550" t="s">
        <v>4</v>
      </c>
      <c r="B550" t="s">
        <v>133</v>
      </c>
      <c r="C550" s="8">
        <v>46070</v>
      </c>
      <c r="D550" s="9">
        <v>29446</v>
      </c>
    </row>
    <row r="551" spans="1:4">
      <c r="A551" t="s">
        <v>4</v>
      </c>
      <c r="B551" t="s">
        <v>192</v>
      </c>
      <c r="C551" s="8">
        <v>46070</v>
      </c>
      <c r="D551" s="9">
        <v>41908</v>
      </c>
    </row>
    <row r="552" spans="1:4">
      <c r="A552" t="s">
        <v>4</v>
      </c>
      <c r="B552" t="s">
        <v>161</v>
      </c>
      <c r="C552" s="8">
        <v>46070</v>
      </c>
      <c r="D552" s="9">
        <v>16202</v>
      </c>
    </row>
    <row r="553" spans="1:4">
      <c r="A553" t="s">
        <v>4</v>
      </c>
      <c r="B553" t="s">
        <v>213</v>
      </c>
      <c r="C553" s="8">
        <v>46070</v>
      </c>
      <c r="D553" s="9">
        <v>38531</v>
      </c>
    </row>
    <row r="554" spans="1:4">
      <c r="A554" t="s">
        <v>4</v>
      </c>
      <c r="B554" t="s">
        <v>85</v>
      </c>
      <c r="C554" s="8">
        <v>46070</v>
      </c>
      <c r="D554" s="9">
        <v>33667</v>
      </c>
    </row>
    <row r="555" spans="1:4">
      <c r="A555" t="s">
        <v>30</v>
      </c>
      <c r="B555" t="s">
        <v>255</v>
      </c>
      <c r="C555" s="8">
        <v>46070</v>
      </c>
      <c r="D555" s="9">
        <v>11787</v>
      </c>
    </row>
    <row r="556" spans="1:4">
      <c r="A556" t="s">
        <v>6</v>
      </c>
      <c r="B556" t="s">
        <v>177</v>
      </c>
      <c r="C556" s="8">
        <v>46070</v>
      </c>
      <c r="D556" s="9">
        <v>18931</v>
      </c>
    </row>
    <row r="557" spans="1:4">
      <c r="A557" t="s">
        <v>5</v>
      </c>
      <c r="B557" t="s">
        <v>110</v>
      </c>
      <c r="C557" s="8">
        <v>46070</v>
      </c>
      <c r="D557" s="9">
        <v>31103</v>
      </c>
    </row>
    <row r="558" spans="1:4">
      <c r="A558" t="s">
        <v>5</v>
      </c>
      <c r="B558" t="s">
        <v>182</v>
      </c>
      <c r="C558" s="8">
        <v>46070</v>
      </c>
      <c r="D558" s="9">
        <v>50073</v>
      </c>
    </row>
    <row r="559" spans="1:4">
      <c r="A559" t="s">
        <v>5</v>
      </c>
      <c r="B559" t="s">
        <v>209</v>
      </c>
      <c r="C559" s="8">
        <v>46070</v>
      </c>
      <c r="D559" s="9">
        <v>58839</v>
      </c>
    </row>
    <row r="560" spans="1:4">
      <c r="A560" t="s">
        <v>5</v>
      </c>
      <c r="B560" t="s">
        <v>81</v>
      </c>
      <c r="C560" s="8">
        <v>46070</v>
      </c>
      <c r="D560" s="9">
        <v>52036</v>
      </c>
    </row>
    <row r="561" spans="1:4">
      <c r="A561" t="s">
        <v>5</v>
      </c>
      <c r="B561" t="s">
        <v>104</v>
      </c>
      <c r="C561" s="8">
        <v>46070</v>
      </c>
      <c r="D561" s="9">
        <v>45782</v>
      </c>
    </row>
    <row r="562" spans="1:4">
      <c r="A562" t="s">
        <v>5</v>
      </c>
      <c r="B562" t="s">
        <v>60</v>
      </c>
      <c r="C562" s="8">
        <v>46070</v>
      </c>
      <c r="D562" s="9">
        <v>39346</v>
      </c>
    </row>
    <row r="563" spans="1:4">
      <c r="A563" t="s">
        <v>5</v>
      </c>
      <c r="B563" t="s">
        <v>183</v>
      </c>
      <c r="C563" s="8">
        <v>46070</v>
      </c>
      <c r="D563" s="9">
        <v>52270</v>
      </c>
    </row>
    <row r="564" spans="1:4">
      <c r="A564" t="s">
        <v>27</v>
      </c>
      <c r="B564" t="s">
        <v>169</v>
      </c>
      <c r="C564" s="8">
        <v>46071</v>
      </c>
      <c r="D564" s="9">
        <v>31491</v>
      </c>
    </row>
    <row r="565" spans="1:4">
      <c r="A565" t="s">
        <v>4</v>
      </c>
      <c r="B565" t="s">
        <v>53</v>
      </c>
      <c r="C565" s="8">
        <v>46071</v>
      </c>
      <c r="D565" s="9">
        <v>45607</v>
      </c>
    </row>
    <row r="566" spans="1:4">
      <c r="A566" t="s">
        <v>25</v>
      </c>
      <c r="B566" t="s">
        <v>153</v>
      </c>
      <c r="C566" s="8">
        <v>46071</v>
      </c>
      <c r="D566" s="9">
        <v>29016</v>
      </c>
    </row>
    <row r="567" spans="1:4">
      <c r="A567" t="s">
        <v>30</v>
      </c>
      <c r="B567" t="s">
        <v>111</v>
      </c>
      <c r="C567" s="8">
        <v>46071</v>
      </c>
      <c r="D567" s="9">
        <v>24740</v>
      </c>
    </row>
    <row r="568" spans="1:4">
      <c r="A568" t="s">
        <v>30</v>
      </c>
      <c r="B568" t="s">
        <v>55</v>
      </c>
      <c r="C568" s="8">
        <v>46071</v>
      </c>
      <c r="D568" s="9">
        <v>15917</v>
      </c>
    </row>
    <row r="569" spans="1:4">
      <c r="A569" t="s">
        <v>8</v>
      </c>
      <c r="B569" t="s">
        <v>122</v>
      </c>
      <c r="C569" s="8">
        <v>46071</v>
      </c>
      <c r="D569" s="9">
        <v>24997</v>
      </c>
    </row>
    <row r="570" spans="1:4">
      <c r="A570" t="s">
        <v>6</v>
      </c>
      <c r="B570" t="s">
        <v>63</v>
      </c>
      <c r="C570" s="8">
        <v>46071</v>
      </c>
      <c r="D570" s="9">
        <v>18460</v>
      </c>
    </row>
    <row r="571" spans="1:4">
      <c r="A571" t="s">
        <v>33</v>
      </c>
      <c r="B571" t="s">
        <v>128</v>
      </c>
      <c r="C571" s="8">
        <v>46071</v>
      </c>
      <c r="D571" s="9">
        <v>15986</v>
      </c>
    </row>
    <row r="572" spans="1:4">
      <c r="A572" t="s">
        <v>33</v>
      </c>
      <c r="B572" t="s">
        <v>134</v>
      </c>
      <c r="C572" s="8">
        <v>46071</v>
      </c>
      <c r="D572" s="9">
        <v>13731</v>
      </c>
    </row>
    <row r="573" spans="1:4">
      <c r="A573" t="s">
        <v>7</v>
      </c>
      <c r="B573" t="s">
        <v>263</v>
      </c>
      <c r="C573" s="8">
        <v>46071</v>
      </c>
      <c r="D573" s="9">
        <v>34958</v>
      </c>
    </row>
    <row r="574" spans="1:4">
      <c r="A574" t="s">
        <v>9</v>
      </c>
      <c r="B574" t="s">
        <v>158</v>
      </c>
      <c r="C574" s="8">
        <v>46071</v>
      </c>
      <c r="D574" s="9">
        <v>47343</v>
      </c>
    </row>
    <row r="575" spans="1:4">
      <c r="A575" t="s">
        <v>9</v>
      </c>
      <c r="B575" t="s">
        <v>130</v>
      </c>
      <c r="C575" s="8">
        <v>46071</v>
      </c>
      <c r="D575" s="9">
        <v>37961</v>
      </c>
    </row>
    <row r="576" spans="1:4">
      <c r="A576" t="s">
        <v>9</v>
      </c>
      <c r="B576" t="s">
        <v>258</v>
      </c>
      <c r="C576" s="8">
        <v>46071</v>
      </c>
      <c r="D576" s="9">
        <v>27976</v>
      </c>
    </row>
    <row r="577" spans="1:4">
      <c r="A577" t="s">
        <v>4</v>
      </c>
      <c r="B577" t="s">
        <v>116</v>
      </c>
      <c r="C577" s="8">
        <v>46072</v>
      </c>
      <c r="D577" s="9">
        <v>23473</v>
      </c>
    </row>
    <row r="578" spans="1:4">
      <c r="A578" t="s">
        <v>4</v>
      </c>
      <c r="B578" t="s">
        <v>283</v>
      </c>
      <c r="C578" s="8">
        <v>46072</v>
      </c>
      <c r="D578" s="9">
        <v>42769</v>
      </c>
    </row>
    <row r="579" spans="1:4">
      <c r="A579" t="s">
        <v>4</v>
      </c>
      <c r="B579" t="s">
        <v>231</v>
      </c>
      <c r="C579" s="8">
        <v>46072</v>
      </c>
      <c r="D579" s="9">
        <v>36607</v>
      </c>
    </row>
    <row r="580" spans="1:4">
      <c r="A580" t="s">
        <v>31</v>
      </c>
      <c r="B580" t="s">
        <v>106</v>
      </c>
      <c r="C580" s="8">
        <v>46072</v>
      </c>
      <c r="D580" s="9">
        <v>9867</v>
      </c>
    </row>
    <row r="581" spans="1:4">
      <c r="A581" t="s">
        <v>29</v>
      </c>
      <c r="B581" t="s">
        <v>152</v>
      </c>
      <c r="C581" s="8">
        <v>46072</v>
      </c>
      <c r="D581" s="9">
        <v>14703</v>
      </c>
    </row>
    <row r="582" spans="1:4">
      <c r="A582" t="s">
        <v>9</v>
      </c>
      <c r="B582" t="s">
        <v>144</v>
      </c>
      <c r="C582" s="8">
        <v>46072</v>
      </c>
      <c r="D582" s="9">
        <v>33880</v>
      </c>
    </row>
    <row r="583" spans="1:4">
      <c r="A583" t="s">
        <v>9</v>
      </c>
      <c r="B583" t="s">
        <v>145</v>
      </c>
      <c r="C583" s="8">
        <v>46072</v>
      </c>
      <c r="D583" s="9">
        <v>26371</v>
      </c>
    </row>
    <row r="584" spans="1:4">
      <c r="A584" t="s">
        <v>9</v>
      </c>
      <c r="B584" t="s">
        <v>197</v>
      </c>
      <c r="C584" s="8">
        <v>46072</v>
      </c>
      <c r="D584" s="9">
        <v>32692</v>
      </c>
    </row>
    <row r="585" spans="1:4">
      <c r="A585" t="s">
        <v>5</v>
      </c>
      <c r="B585" t="s">
        <v>117</v>
      </c>
      <c r="C585" s="8">
        <v>46072</v>
      </c>
      <c r="D585" s="9">
        <v>39605</v>
      </c>
    </row>
    <row r="586" spans="1:4">
      <c r="A586" t="s">
        <v>5</v>
      </c>
      <c r="B586" t="s">
        <v>118</v>
      </c>
      <c r="C586" s="8">
        <v>46072</v>
      </c>
      <c r="D586" s="9">
        <v>34207</v>
      </c>
    </row>
    <row r="587" spans="1:4">
      <c r="A587" t="s">
        <v>8</v>
      </c>
      <c r="B587" t="s">
        <v>256</v>
      </c>
      <c r="C587" s="8">
        <v>46073</v>
      </c>
      <c r="D587" s="9">
        <v>18009</v>
      </c>
    </row>
    <row r="588" spans="1:4">
      <c r="A588" t="s">
        <v>7</v>
      </c>
      <c r="B588" t="s">
        <v>275</v>
      </c>
      <c r="C588" s="8">
        <v>46073</v>
      </c>
      <c r="D588" s="9">
        <v>32585</v>
      </c>
    </row>
    <row r="589" spans="1:4">
      <c r="A589" t="s">
        <v>9</v>
      </c>
      <c r="B589" t="s">
        <v>208</v>
      </c>
      <c r="C589" s="8">
        <v>46073</v>
      </c>
      <c r="D589" s="9">
        <v>40595</v>
      </c>
    </row>
    <row r="590" spans="1:4">
      <c r="A590" t="s">
        <v>9</v>
      </c>
      <c r="B590" t="s">
        <v>129</v>
      </c>
      <c r="C590" s="8">
        <v>46073</v>
      </c>
      <c r="D590" s="9">
        <v>36026</v>
      </c>
    </row>
    <row r="591" spans="1:4">
      <c r="A591" t="s">
        <v>9</v>
      </c>
      <c r="B591" t="s">
        <v>129</v>
      </c>
      <c r="C591" s="8">
        <v>46073</v>
      </c>
      <c r="D591" s="9">
        <v>37540</v>
      </c>
    </row>
    <row r="592" spans="1:4">
      <c r="A592" t="s">
        <v>9</v>
      </c>
      <c r="B592" t="s">
        <v>78</v>
      </c>
      <c r="C592" s="8">
        <v>46073</v>
      </c>
      <c r="D592" s="9">
        <v>47639</v>
      </c>
    </row>
    <row r="593" spans="1:4">
      <c r="A593" t="s">
        <v>5</v>
      </c>
      <c r="B593" t="s">
        <v>184</v>
      </c>
      <c r="C593" s="8">
        <v>46073</v>
      </c>
      <c r="D593" s="9">
        <v>35683</v>
      </c>
    </row>
    <row r="594" spans="1:4">
      <c r="A594" t="s">
        <v>5</v>
      </c>
      <c r="B594" t="s">
        <v>93</v>
      </c>
      <c r="C594" s="8">
        <v>46073</v>
      </c>
      <c r="D594" s="9">
        <v>33065</v>
      </c>
    </row>
    <row r="595" spans="1:4">
      <c r="A595" t="s">
        <v>5</v>
      </c>
      <c r="B595" t="s">
        <v>94</v>
      </c>
      <c r="C595" s="8">
        <v>46073</v>
      </c>
      <c r="D595" s="9">
        <v>37128</v>
      </c>
    </row>
    <row r="596" spans="1:4">
      <c r="A596" t="s">
        <v>5</v>
      </c>
      <c r="B596" t="s">
        <v>94</v>
      </c>
      <c r="C596" s="8">
        <v>46073</v>
      </c>
      <c r="D596" s="9">
        <v>38650</v>
      </c>
    </row>
    <row r="597" spans="1:4">
      <c r="A597" t="s">
        <v>5</v>
      </c>
      <c r="B597" t="s">
        <v>117</v>
      </c>
      <c r="C597" s="8">
        <v>46073</v>
      </c>
      <c r="D597" s="9">
        <v>41730</v>
      </c>
    </row>
    <row r="598" spans="1:4">
      <c r="A598" t="s">
        <v>5</v>
      </c>
      <c r="B598" t="s">
        <v>95</v>
      </c>
      <c r="C598" s="8">
        <v>46073</v>
      </c>
      <c r="D598" s="9">
        <v>32905</v>
      </c>
    </row>
    <row r="599" spans="1:4">
      <c r="A599" t="s">
        <v>5</v>
      </c>
      <c r="B599" t="s">
        <v>191</v>
      </c>
      <c r="C599" s="8">
        <v>46073</v>
      </c>
      <c r="D599" s="9">
        <v>31937</v>
      </c>
    </row>
    <row r="600" spans="1:4">
      <c r="A600" t="s">
        <v>5</v>
      </c>
      <c r="B600" t="s">
        <v>141</v>
      </c>
      <c r="C600" s="8">
        <v>46073</v>
      </c>
      <c r="D600" s="9">
        <v>43843</v>
      </c>
    </row>
    <row r="601" spans="1:4">
      <c r="A601" t="s">
        <v>27</v>
      </c>
      <c r="B601" t="s">
        <v>68</v>
      </c>
      <c r="C601" s="8">
        <v>46074</v>
      </c>
      <c r="D601" s="9">
        <v>14212</v>
      </c>
    </row>
    <row r="602" spans="1:4">
      <c r="A602" t="s">
        <v>4</v>
      </c>
      <c r="B602" t="s">
        <v>147</v>
      </c>
      <c r="C602" s="8">
        <v>46074</v>
      </c>
      <c r="D602" s="9">
        <v>25888</v>
      </c>
    </row>
    <row r="603" spans="1:4">
      <c r="A603" t="s">
        <v>8</v>
      </c>
      <c r="B603" t="s">
        <v>163</v>
      </c>
      <c r="C603" s="8">
        <v>46074</v>
      </c>
      <c r="D603" s="9">
        <v>29825</v>
      </c>
    </row>
    <row r="604" spans="1:4">
      <c r="A604" t="s">
        <v>9</v>
      </c>
      <c r="B604" t="s">
        <v>145</v>
      </c>
      <c r="C604" s="8">
        <v>46074</v>
      </c>
      <c r="D604" s="9">
        <v>41656</v>
      </c>
    </row>
    <row r="605" spans="1:4">
      <c r="A605" t="s">
        <v>9</v>
      </c>
      <c r="B605" t="s">
        <v>65</v>
      </c>
      <c r="C605" s="8">
        <v>46074</v>
      </c>
      <c r="D605" s="9">
        <v>17979</v>
      </c>
    </row>
    <row r="606" spans="1:4">
      <c r="A606" t="s">
        <v>9</v>
      </c>
      <c r="B606" t="s">
        <v>130</v>
      </c>
      <c r="C606" s="8">
        <v>46074</v>
      </c>
      <c r="D606" s="9">
        <v>41294</v>
      </c>
    </row>
    <row r="607" spans="1:4">
      <c r="A607" t="s">
        <v>5</v>
      </c>
      <c r="B607" t="s">
        <v>196</v>
      </c>
      <c r="C607" s="8">
        <v>46074</v>
      </c>
      <c r="D607" s="9">
        <v>37267</v>
      </c>
    </row>
    <row r="608" spans="1:4">
      <c r="A608" t="s">
        <v>5</v>
      </c>
      <c r="B608" t="s">
        <v>202</v>
      </c>
      <c r="C608" s="8">
        <v>46074</v>
      </c>
      <c r="D608" s="9">
        <v>31864</v>
      </c>
    </row>
    <row r="609" spans="1:4">
      <c r="A609" t="s">
        <v>5</v>
      </c>
      <c r="B609" t="s">
        <v>60</v>
      </c>
      <c r="C609" s="8">
        <v>46074</v>
      </c>
      <c r="D609" s="9">
        <v>35459</v>
      </c>
    </row>
    <row r="610" spans="1:4">
      <c r="A610" t="s">
        <v>5</v>
      </c>
      <c r="B610" t="s">
        <v>191</v>
      </c>
      <c r="C610" s="8">
        <v>46074</v>
      </c>
      <c r="D610" s="9">
        <v>40349</v>
      </c>
    </row>
    <row r="611" spans="1:4">
      <c r="A611" t="s">
        <v>4</v>
      </c>
      <c r="B611" t="s">
        <v>159</v>
      </c>
      <c r="C611" s="8">
        <v>46075</v>
      </c>
      <c r="D611" s="9">
        <v>34030</v>
      </c>
    </row>
    <row r="612" spans="1:4">
      <c r="A612" t="s">
        <v>36</v>
      </c>
      <c r="B612" t="s">
        <v>155</v>
      </c>
      <c r="C612" s="8">
        <v>46075</v>
      </c>
      <c r="D612" s="9">
        <v>14786</v>
      </c>
    </row>
    <row r="613" spans="1:4">
      <c r="A613" t="s">
        <v>26</v>
      </c>
      <c r="B613" t="s">
        <v>252</v>
      </c>
      <c r="C613" s="8">
        <v>46075</v>
      </c>
      <c r="D613" s="9">
        <v>12535</v>
      </c>
    </row>
    <row r="614" spans="1:4">
      <c r="A614" t="s">
        <v>34</v>
      </c>
      <c r="B614" t="s">
        <v>225</v>
      </c>
      <c r="C614" s="8">
        <v>46075</v>
      </c>
      <c r="D614" s="9">
        <v>21461</v>
      </c>
    </row>
    <row r="615" spans="1:4">
      <c r="A615" t="s">
        <v>29</v>
      </c>
      <c r="B615" t="s">
        <v>274</v>
      </c>
      <c r="C615" s="8">
        <v>46075</v>
      </c>
      <c r="D615" s="9">
        <v>9904</v>
      </c>
    </row>
    <row r="616" spans="1:4">
      <c r="A616" t="s">
        <v>29</v>
      </c>
      <c r="B616" t="s">
        <v>218</v>
      </c>
      <c r="C616" s="8">
        <v>46075</v>
      </c>
      <c r="D616" s="9">
        <v>14604</v>
      </c>
    </row>
    <row r="617" spans="1:4">
      <c r="A617" t="s">
        <v>9</v>
      </c>
      <c r="B617" t="s">
        <v>136</v>
      </c>
      <c r="C617" s="8">
        <v>46075</v>
      </c>
      <c r="D617" s="9">
        <v>27986</v>
      </c>
    </row>
    <row r="618" spans="1:4">
      <c r="A618" t="s">
        <v>9</v>
      </c>
      <c r="B618" t="s">
        <v>242</v>
      </c>
      <c r="C618" s="8">
        <v>46075</v>
      </c>
      <c r="D618" s="9">
        <v>46053</v>
      </c>
    </row>
    <row r="619" spans="1:4">
      <c r="A619" t="s">
        <v>9</v>
      </c>
      <c r="B619" t="s">
        <v>102</v>
      </c>
      <c r="C619" s="8">
        <v>46075</v>
      </c>
      <c r="D619" s="9">
        <v>33361</v>
      </c>
    </row>
    <row r="620" spans="1:4">
      <c r="A620" t="s">
        <v>5</v>
      </c>
      <c r="B620" t="s">
        <v>60</v>
      </c>
      <c r="C620" s="8">
        <v>46075</v>
      </c>
      <c r="D620" s="9">
        <v>32097</v>
      </c>
    </row>
    <row r="621" spans="1:4">
      <c r="A621" t="s">
        <v>5</v>
      </c>
      <c r="B621" t="s">
        <v>168</v>
      </c>
      <c r="C621" s="8">
        <v>46075</v>
      </c>
      <c r="D621" s="9">
        <v>36838</v>
      </c>
    </row>
    <row r="622" spans="1:4">
      <c r="A622" t="s">
        <v>5</v>
      </c>
      <c r="B622" t="s">
        <v>146</v>
      </c>
      <c r="C622" s="8">
        <v>46075</v>
      </c>
      <c r="D622" s="9">
        <v>53564</v>
      </c>
    </row>
    <row r="623" spans="1:4">
      <c r="A623" t="s">
        <v>28</v>
      </c>
      <c r="B623" t="s">
        <v>222</v>
      </c>
      <c r="C623" s="8">
        <v>46076</v>
      </c>
      <c r="D623" s="9">
        <v>14120</v>
      </c>
    </row>
    <row r="624" spans="1:4">
      <c r="A624" t="s">
        <v>8</v>
      </c>
      <c r="B624" t="s">
        <v>266</v>
      </c>
      <c r="C624" s="8">
        <v>46076</v>
      </c>
      <c r="D624" s="9">
        <v>6542</v>
      </c>
    </row>
    <row r="625" spans="1:4">
      <c r="A625" t="s">
        <v>9</v>
      </c>
      <c r="B625" t="s">
        <v>227</v>
      </c>
      <c r="C625" s="8">
        <v>46076</v>
      </c>
      <c r="D625" s="9">
        <v>34758</v>
      </c>
    </row>
    <row r="626" spans="1:4">
      <c r="A626" t="s">
        <v>9</v>
      </c>
      <c r="B626" t="s">
        <v>131</v>
      </c>
      <c r="C626" s="8">
        <v>46076</v>
      </c>
      <c r="D626" s="9">
        <v>30260</v>
      </c>
    </row>
    <row r="627" spans="1:4">
      <c r="A627" t="s">
        <v>9</v>
      </c>
      <c r="B627" t="s">
        <v>48</v>
      </c>
      <c r="C627" s="8">
        <v>46076</v>
      </c>
      <c r="D627" s="9">
        <v>38790</v>
      </c>
    </row>
    <row r="628" spans="1:4">
      <c r="A628" t="s">
        <v>5</v>
      </c>
      <c r="B628" t="s">
        <v>96</v>
      </c>
      <c r="C628" s="8">
        <v>46076</v>
      </c>
      <c r="D628" s="9">
        <v>37717</v>
      </c>
    </row>
    <row r="629" spans="1:4">
      <c r="A629" t="s">
        <v>5</v>
      </c>
      <c r="B629" t="s">
        <v>96</v>
      </c>
      <c r="C629" s="8">
        <v>46076</v>
      </c>
      <c r="D629" s="9">
        <v>39509</v>
      </c>
    </row>
    <row r="630" spans="1:4">
      <c r="A630" t="s">
        <v>5</v>
      </c>
      <c r="B630" t="s">
        <v>110</v>
      </c>
      <c r="C630" s="8">
        <v>46076</v>
      </c>
      <c r="D630" s="9">
        <v>38002</v>
      </c>
    </row>
    <row r="631" spans="1:4">
      <c r="A631" t="s">
        <v>5</v>
      </c>
      <c r="B631" t="s">
        <v>110</v>
      </c>
      <c r="C631" s="8">
        <v>46076</v>
      </c>
      <c r="D631" s="9">
        <v>40170</v>
      </c>
    </row>
    <row r="632" spans="1:4">
      <c r="A632" t="s">
        <v>5</v>
      </c>
      <c r="B632" t="s">
        <v>206</v>
      </c>
      <c r="C632" s="8">
        <v>46076</v>
      </c>
      <c r="D632" s="9">
        <v>52409</v>
      </c>
    </row>
    <row r="633" spans="1:4">
      <c r="A633" t="s">
        <v>5</v>
      </c>
      <c r="B633" t="s">
        <v>93</v>
      </c>
      <c r="C633" s="8">
        <v>46076</v>
      </c>
      <c r="D633" s="9">
        <v>40684</v>
      </c>
    </row>
    <row r="634" spans="1:4">
      <c r="A634" t="s">
        <v>5</v>
      </c>
      <c r="B634" t="s">
        <v>132</v>
      </c>
      <c r="C634" s="8">
        <v>46076</v>
      </c>
      <c r="D634" s="9">
        <v>41687</v>
      </c>
    </row>
    <row r="635" spans="1:4">
      <c r="A635" t="s">
        <v>5</v>
      </c>
      <c r="B635" t="s">
        <v>138</v>
      </c>
      <c r="C635" s="8">
        <v>46076</v>
      </c>
      <c r="D635" s="9">
        <v>55739</v>
      </c>
    </row>
    <row r="636" spans="1:4">
      <c r="A636" t="s">
        <v>5</v>
      </c>
      <c r="B636" t="s">
        <v>190</v>
      </c>
      <c r="C636" s="8">
        <v>46076</v>
      </c>
      <c r="D636" s="9">
        <v>28617</v>
      </c>
    </row>
    <row r="637" spans="1:4">
      <c r="A637" t="s">
        <v>5</v>
      </c>
      <c r="B637" t="s">
        <v>167</v>
      </c>
      <c r="C637" s="8">
        <v>46076</v>
      </c>
      <c r="D637" s="9">
        <v>42195</v>
      </c>
    </row>
    <row r="638" spans="1:4">
      <c r="A638" t="s">
        <v>5</v>
      </c>
      <c r="B638" t="s">
        <v>141</v>
      </c>
      <c r="C638" s="8">
        <v>46076</v>
      </c>
      <c r="D638" s="9">
        <v>35320</v>
      </c>
    </row>
    <row r="639" spans="1:4">
      <c r="A639" t="s">
        <v>27</v>
      </c>
      <c r="B639" t="s">
        <v>237</v>
      </c>
      <c r="C639" s="8">
        <v>46077</v>
      </c>
      <c r="D639" s="9">
        <v>32078</v>
      </c>
    </row>
    <row r="640" spans="1:4">
      <c r="A640" t="s">
        <v>4</v>
      </c>
      <c r="B640" t="s">
        <v>228</v>
      </c>
      <c r="C640" s="8">
        <v>46077</v>
      </c>
      <c r="D640" s="9">
        <v>47156</v>
      </c>
    </row>
    <row r="641" spans="1:4">
      <c r="A641" t="s">
        <v>25</v>
      </c>
      <c r="B641" t="s">
        <v>126</v>
      </c>
      <c r="C641" s="8">
        <v>46077</v>
      </c>
      <c r="D641" s="9">
        <v>18283</v>
      </c>
    </row>
    <row r="642" spans="1:4">
      <c r="A642" t="s">
        <v>30</v>
      </c>
      <c r="B642" t="s">
        <v>156</v>
      </c>
      <c r="C642" s="8">
        <v>46077</v>
      </c>
      <c r="D642" s="9">
        <v>13034</v>
      </c>
    </row>
    <row r="643" spans="1:4">
      <c r="A643" t="s">
        <v>6</v>
      </c>
      <c r="B643" t="s">
        <v>262</v>
      </c>
      <c r="C643" s="8">
        <v>46077</v>
      </c>
      <c r="D643" s="9">
        <v>23394</v>
      </c>
    </row>
    <row r="644" spans="1:4">
      <c r="A644" t="s">
        <v>6</v>
      </c>
      <c r="B644" t="s">
        <v>186</v>
      </c>
      <c r="C644" s="8">
        <v>46077</v>
      </c>
      <c r="D644" s="9">
        <v>19351</v>
      </c>
    </row>
    <row r="645" spans="1:4">
      <c r="A645" t="s">
        <v>6</v>
      </c>
      <c r="B645" t="s">
        <v>73</v>
      </c>
      <c r="C645" s="8">
        <v>46077</v>
      </c>
      <c r="D645" s="9">
        <v>34152</v>
      </c>
    </row>
    <row r="646" spans="1:4">
      <c r="A646" t="s">
        <v>7</v>
      </c>
      <c r="B646" t="s">
        <v>47</v>
      </c>
      <c r="C646" s="8">
        <v>46077</v>
      </c>
      <c r="D646" s="9">
        <v>42656</v>
      </c>
    </row>
    <row r="647" spans="1:4">
      <c r="A647" t="s">
        <v>7</v>
      </c>
      <c r="B647" t="s">
        <v>268</v>
      </c>
      <c r="C647" s="8">
        <v>46077</v>
      </c>
      <c r="D647" s="9">
        <v>34564</v>
      </c>
    </row>
    <row r="648" spans="1:4">
      <c r="A648" t="s">
        <v>9</v>
      </c>
      <c r="B648" t="s">
        <v>91</v>
      </c>
      <c r="C648" s="8">
        <v>46077</v>
      </c>
      <c r="D648" s="9">
        <v>15532</v>
      </c>
    </row>
    <row r="649" spans="1:4">
      <c r="A649" t="s">
        <v>9</v>
      </c>
      <c r="B649" t="s">
        <v>150</v>
      </c>
      <c r="C649" s="8">
        <v>46077</v>
      </c>
      <c r="D649" s="9">
        <v>29053</v>
      </c>
    </row>
    <row r="650" spans="1:4">
      <c r="A650" t="s">
        <v>5</v>
      </c>
      <c r="B650" t="s">
        <v>221</v>
      </c>
      <c r="C650" s="8">
        <v>46077</v>
      </c>
      <c r="D650" s="9">
        <v>52049</v>
      </c>
    </row>
    <row r="651" spans="1:4">
      <c r="A651" t="s">
        <v>5</v>
      </c>
      <c r="B651" t="s">
        <v>183</v>
      </c>
      <c r="C651" s="8">
        <v>46077</v>
      </c>
      <c r="D651" s="9">
        <v>42426</v>
      </c>
    </row>
    <row r="652" spans="1:4">
      <c r="A652" t="s">
        <v>5</v>
      </c>
      <c r="B652" t="s">
        <v>174</v>
      </c>
      <c r="C652" s="8">
        <v>46077</v>
      </c>
      <c r="D652" s="9">
        <v>36574</v>
      </c>
    </row>
    <row r="653" spans="1:4">
      <c r="A653" t="s">
        <v>4</v>
      </c>
      <c r="B653" t="s">
        <v>84</v>
      </c>
      <c r="C653" s="8">
        <v>46078</v>
      </c>
      <c r="D653" s="9">
        <v>29663</v>
      </c>
    </row>
    <row r="654" spans="1:4">
      <c r="A654" t="s">
        <v>4</v>
      </c>
      <c r="B654" t="s">
        <v>243</v>
      </c>
      <c r="C654" s="8">
        <v>46078</v>
      </c>
      <c r="D654" s="9">
        <v>49274</v>
      </c>
    </row>
    <row r="655" spans="1:4">
      <c r="A655" t="s">
        <v>32</v>
      </c>
      <c r="B655" t="s">
        <v>272</v>
      </c>
      <c r="C655" s="8">
        <v>46078</v>
      </c>
      <c r="D655" s="9">
        <v>23518</v>
      </c>
    </row>
    <row r="656" spans="1:4">
      <c r="A656" t="s">
        <v>6</v>
      </c>
      <c r="B656" t="s">
        <v>74</v>
      </c>
      <c r="C656" s="8">
        <v>46078</v>
      </c>
      <c r="D656" s="9">
        <v>38356</v>
      </c>
    </row>
    <row r="657" spans="1:4">
      <c r="A657" t="s">
        <v>5</v>
      </c>
      <c r="B657" t="s">
        <v>80</v>
      </c>
      <c r="C657" s="8">
        <v>46078</v>
      </c>
      <c r="D657" s="9">
        <v>42061</v>
      </c>
    </row>
    <row r="658" spans="1:4">
      <c r="A658" t="s">
        <v>5</v>
      </c>
      <c r="B658" t="s">
        <v>196</v>
      </c>
      <c r="C658" s="8">
        <v>46078</v>
      </c>
      <c r="D658" s="9">
        <v>52385</v>
      </c>
    </row>
    <row r="659" spans="1:4">
      <c r="A659" t="s">
        <v>5</v>
      </c>
      <c r="B659" t="s">
        <v>191</v>
      </c>
      <c r="C659" s="8">
        <v>46078</v>
      </c>
      <c r="D659" s="9">
        <v>43458</v>
      </c>
    </row>
    <row r="660" spans="1:4">
      <c r="A660" t="s">
        <v>5</v>
      </c>
      <c r="B660" t="s">
        <v>260</v>
      </c>
      <c r="C660" s="8">
        <v>46078</v>
      </c>
      <c r="D660" s="9">
        <v>30055</v>
      </c>
    </row>
    <row r="661" spans="1:4">
      <c r="A661" t="s">
        <v>4</v>
      </c>
      <c r="B661" t="s">
        <v>151</v>
      </c>
      <c r="C661" s="8">
        <v>46079</v>
      </c>
      <c r="D661" s="9">
        <v>30717</v>
      </c>
    </row>
    <row r="662" spans="1:4">
      <c r="A662" t="s">
        <v>4</v>
      </c>
      <c r="B662" t="s">
        <v>238</v>
      </c>
      <c r="C662" s="8">
        <v>46079</v>
      </c>
      <c r="D662" s="9">
        <v>33313</v>
      </c>
    </row>
    <row r="663" spans="1:4">
      <c r="A663" t="s">
        <v>32</v>
      </c>
      <c r="B663" t="s">
        <v>87</v>
      </c>
      <c r="C663" s="8">
        <v>46079</v>
      </c>
      <c r="D663" s="9">
        <v>14605</v>
      </c>
    </row>
    <row r="664" spans="1:4">
      <c r="A664" t="s">
        <v>7</v>
      </c>
      <c r="B664" t="s">
        <v>257</v>
      </c>
      <c r="C664" s="8">
        <v>46079</v>
      </c>
      <c r="D664" s="9">
        <v>35174</v>
      </c>
    </row>
    <row r="665" spans="1:4">
      <c r="A665" t="s">
        <v>7</v>
      </c>
      <c r="B665" t="s">
        <v>282</v>
      </c>
      <c r="C665" s="8">
        <v>46079</v>
      </c>
      <c r="D665" s="9">
        <v>33014</v>
      </c>
    </row>
    <row r="666" spans="1:4">
      <c r="A666" t="s">
        <v>9</v>
      </c>
      <c r="B666" t="s">
        <v>264</v>
      </c>
      <c r="C666" s="8">
        <v>46079</v>
      </c>
      <c r="D666" s="9">
        <v>28045</v>
      </c>
    </row>
    <row r="667" spans="1:4">
      <c r="A667" t="s">
        <v>27</v>
      </c>
      <c r="B667" t="s">
        <v>142</v>
      </c>
      <c r="C667" s="8">
        <v>46080</v>
      </c>
      <c r="D667" s="9">
        <v>12356</v>
      </c>
    </row>
    <row r="668" spans="1:4">
      <c r="A668" t="s">
        <v>25</v>
      </c>
      <c r="B668" t="s">
        <v>261</v>
      </c>
      <c r="C668" s="8">
        <v>46080</v>
      </c>
      <c r="D668" s="9">
        <v>17605</v>
      </c>
    </row>
    <row r="669" spans="1:4">
      <c r="A669" t="s">
        <v>25</v>
      </c>
      <c r="B669" t="s">
        <v>120</v>
      </c>
      <c r="C669" s="8">
        <v>46080</v>
      </c>
      <c r="D669" s="9">
        <v>20210</v>
      </c>
    </row>
    <row r="670" spans="1:4">
      <c r="A670" t="s">
        <v>26</v>
      </c>
      <c r="B670" t="s">
        <v>67</v>
      </c>
      <c r="C670" s="8">
        <v>46080</v>
      </c>
      <c r="D670" s="9">
        <v>16165</v>
      </c>
    </row>
    <row r="671" spans="1:4">
      <c r="A671" t="s">
        <v>8</v>
      </c>
      <c r="B671" t="s">
        <v>199</v>
      </c>
      <c r="C671" s="8">
        <v>46080</v>
      </c>
      <c r="D671" s="9">
        <v>20636</v>
      </c>
    </row>
    <row r="672" spans="1:4">
      <c r="A672" t="s">
        <v>6</v>
      </c>
      <c r="B672" t="s">
        <v>200</v>
      </c>
      <c r="C672" s="8">
        <v>46080</v>
      </c>
      <c r="D672" s="9">
        <v>21358</v>
      </c>
    </row>
    <row r="673" spans="1:4">
      <c r="A673" t="s">
        <v>6</v>
      </c>
      <c r="B673" t="s">
        <v>247</v>
      </c>
      <c r="C673" s="8">
        <v>46080</v>
      </c>
      <c r="D673" s="9">
        <v>25177</v>
      </c>
    </row>
    <row r="674" spans="1:4">
      <c r="A674" t="s">
        <v>29</v>
      </c>
      <c r="B674" t="s">
        <v>64</v>
      </c>
      <c r="C674" s="8">
        <v>46080</v>
      </c>
      <c r="D674" s="9">
        <v>16589</v>
      </c>
    </row>
    <row r="675" spans="1:4">
      <c r="A675" t="s">
        <v>29</v>
      </c>
      <c r="B675" t="s">
        <v>109</v>
      </c>
      <c r="C675" s="8">
        <v>46080</v>
      </c>
      <c r="D675" s="9">
        <v>27935</v>
      </c>
    </row>
    <row r="676" spans="1:4">
      <c r="A676" t="s">
        <v>7</v>
      </c>
      <c r="B676" t="s">
        <v>90</v>
      </c>
      <c r="C676" s="8">
        <v>46080</v>
      </c>
      <c r="D676" s="9">
        <v>9312</v>
      </c>
    </row>
    <row r="677" spans="1:4">
      <c r="A677" t="s">
        <v>9</v>
      </c>
      <c r="B677" t="s">
        <v>173</v>
      </c>
      <c r="C677" s="8">
        <v>46080</v>
      </c>
      <c r="D677" s="9">
        <v>23512</v>
      </c>
    </row>
    <row r="678" spans="1:4">
      <c r="A678" t="s">
        <v>5</v>
      </c>
      <c r="B678" t="s">
        <v>115</v>
      </c>
      <c r="C678" s="8">
        <v>46080</v>
      </c>
      <c r="D678" s="9">
        <v>36047</v>
      </c>
    </row>
    <row r="679" spans="1:4">
      <c r="A679" t="s">
        <v>5</v>
      </c>
      <c r="B679" t="s">
        <v>96</v>
      </c>
      <c r="C679" s="8">
        <v>46080</v>
      </c>
      <c r="D679" s="9">
        <v>51021</v>
      </c>
    </row>
    <row r="680" spans="1:4">
      <c r="A680" t="s">
        <v>5</v>
      </c>
      <c r="B680" t="s">
        <v>158</v>
      </c>
      <c r="C680" s="8">
        <v>46080</v>
      </c>
      <c r="D680" s="9">
        <v>44094</v>
      </c>
    </row>
    <row r="681" spans="1:4">
      <c r="A681" t="s">
        <v>4</v>
      </c>
      <c r="B681" t="s">
        <v>133</v>
      </c>
      <c r="C681" s="8">
        <v>46081</v>
      </c>
      <c r="D681" s="9">
        <v>30805</v>
      </c>
    </row>
    <row r="682" spans="1:4">
      <c r="A682" t="s">
        <v>4</v>
      </c>
      <c r="B682" t="s">
        <v>104</v>
      </c>
      <c r="C682" s="8">
        <v>46081</v>
      </c>
      <c r="D682" s="9">
        <v>62665</v>
      </c>
    </row>
    <row r="683" spans="1:4">
      <c r="A683" t="s">
        <v>8</v>
      </c>
      <c r="B683" t="s">
        <v>98</v>
      </c>
      <c r="C683" s="8">
        <v>46081</v>
      </c>
      <c r="D683" s="9">
        <v>5200</v>
      </c>
    </row>
    <row r="684" spans="1:4">
      <c r="A684" t="s">
        <v>6</v>
      </c>
      <c r="B684" t="s">
        <v>220</v>
      </c>
      <c r="C684" s="8">
        <v>46081</v>
      </c>
      <c r="D684" s="9">
        <v>23505</v>
      </c>
    </row>
    <row r="685" spans="1:4">
      <c r="A685" t="s">
        <v>7</v>
      </c>
      <c r="B685" t="s">
        <v>76</v>
      </c>
      <c r="C685" s="8">
        <v>46081</v>
      </c>
      <c r="D685" s="9">
        <v>27107</v>
      </c>
    </row>
    <row r="686" spans="1:4">
      <c r="A686" t="s">
        <v>7</v>
      </c>
      <c r="B686" t="s">
        <v>236</v>
      </c>
      <c r="C686" s="8">
        <v>46081</v>
      </c>
      <c r="D686" s="9">
        <v>27787</v>
      </c>
    </row>
    <row r="687" spans="1:4">
      <c r="A687" t="s">
        <v>9</v>
      </c>
      <c r="B687" t="s">
        <v>101</v>
      </c>
      <c r="C687" s="8">
        <v>46081</v>
      </c>
      <c r="D687" s="9">
        <v>40716</v>
      </c>
    </row>
    <row r="688" spans="1:4">
      <c r="A688" t="s">
        <v>9</v>
      </c>
      <c r="B688" t="s">
        <v>249</v>
      </c>
      <c r="C688" s="8">
        <v>46081</v>
      </c>
      <c r="D688" s="9">
        <v>27074</v>
      </c>
    </row>
    <row r="689" spans="1:4">
      <c r="A689" t="s">
        <v>9</v>
      </c>
      <c r="B689" t="s">
        <v>178</v>
      </c>
      <c r="C689" s="8">
        <v>46081</v>
      </c>
      <c r="D689" s="9">
        <v>46336</v>
      </c>
    </row>
    <row r="690" spans="1:4">
      <c r="A690" t="s">
        <v>9</v>
      </c>
      <c r="B690" t="s">
        <v>166</v>
      </c>
      <c r="C690" s="8">
        <v>46081</v>
      </c>
      <c r="D690" s="9">
        <v>31410</v>
      </c>
    </row>
    <row r="691" spans="1:4">
      <c r="A691" t="s">
        <v>5</v>
      </c>
      <c r="B691" t="s">
        <v>189</v>
      </c>
      <c r="C691" s="8">
        <v>46081</v>
      </c>
      <c r="D691" s="9">
        <v>24913</v>
      </c>
    </row>
    <row r="692" spans="1:4">
      <c r="A692" t="s">
        <v>5</v>
      </c>
      <c r="B692" t="s">
        <v>182</v>
      </c>
      <c r="C692" s="8">
        <v>46081</v>
      </c>
      <c r="D692" s="9">
        <v>38463</v>
      </c>
    </row>
    <row r="693" spans="1:4">
      <c r="A693" t="s">
        <v>5</v>
      </c>
      <c r="B693" t="s">
        <v>167</v>
      </c>
      <c r="C693" s="8">
        <v>46081</v>
      </c>
      <c r="D693" s="9">
        <v>36958</v>
      </c>
    </row>
    <row r="694" spans="1:4">
      <c r="A694" t="s">
        <v>5</v>
      </c>
      <c r="B694" t="s">
        <v>48</v>
      </c>
      <c r="C694" s="8">
        <v>46081</v>
      </c>
      <c r="D694" s="9">
        <v>34140</v>
      </c>
    </row>
    <row r="695" spans="1:4">
      <c r="A695" t="s">
        <v>5</v>
      </c>
      <c r="B695" t="s">
        <v>105</v>
      </c>
      <c r="C695" s="8">
        <v>46081</v>
      </c>
      <c r="D695" s="9">
        <v>40441</v>
      </c>
    </row>
    <row r="696" spans="1:4">
      <c r="A696" t="s">
        <v>27</v>
      </c>
      <c r="B696" t="s">
        <v>237</v>
      </c>
      <c r="C696" s="8">
        <v>46082</v>
      </c>
      <c r="D696" s="9">
        <v>12810</v>
      </c>
    </row>
    <row r="697" spans="1:4">
      <c r="A697" t="s">
        <v>31</v>
      </c>
      <c r="B697" t="s">
        <v>99</v>
      </c>
      <c r="C697" s="8">
        <v>46082</v>
      </c>
      <c r="D697" s="9">
        <v>16804</v>
      </c>
    </row>
    <row r="698" spans="1:4">
      <c r="A698" t="s">
        <v>26</v>
      </c>
      <c r="B698" t="s">
        <v>83</v>
      </c>
      <c r="C698" s="8">
        <v>46082</v>
      </c>
      <c r="D698" s="9">
        <v>18783</v>
      </c>
    </row>
    <row r="699" spans="1:4">
      <c r="A699" t="s">
        <v>9</v>
      </c>
      <c r="B699" t="s">
        <v>144</v>
      </c>
      <c r="C699" s="8">
        <v>46082</v>
      </c>
      <c r="D699" s="9">
        <v>43576</v>
      </c>
    </row>
    <row r="700" spans="1:4">
      <c r="A700" t="s">
        <v>9</v>
      </c>
      <c r="B700" t="s">
        <v>51</v>
      </c>
      <c r="C700" s="8">
        <v>46082</v>
      </c>
      <c r="D700" s="9">
        <v>39674</v>
      </c>
    </row>
    <row r="701" spans="1:4">
      <c r="A701" t="s">
        <v>5</v>
      </c>
      <c r="B701" t="s">
        <v>184</v>
      </c>
      <c r="C701" s="8">
        <v>46082</v>
      </c>
      <c r="D701" s="9">
        <v>34597</v>
      </c>
    </row>
    <row r="702" spans="1:4">
      <c r="A702" t="s">
        <v>4</v>
      </c>
      <c r="B702" t="s">
        <v>145</v>
      </c>
      <c r="C702" s="8">
        <v>46083</v>
      </c>
      <c r="D702" s="9">
        <v>25911</v>
      </c>
    </row>
    <row r="703" spans="1:4">
      <c r="A703" t="s">
        <v>4</v>
      </c>
      <c r="B703" t="s">
        <v>242</v>
      </c>
      <c r="C703" s="8">
        <v>46083</v>
      </c>
      <c r="D703" s="9">
        <v>33215</v>
      </c>
    </row>
    <row r="704" spans="1:4">
      <c r="A704" t="s">
        <v>6</v>
      </c>
      <c r="B704" t="s">
        <v>73</v>
      </c>
      <c r="C704" s="8">
        <v>46083</v>
      </c>
      <c r="D704" s="9">
        <v>7033</v>
      </c>
    </row>
    <row r="705" spans="1:4">
      <c r="A705" t="s">
        <v>9</v>
      </c>
      <c r="B705" t="s">
        <v>249</v>
      </c>
      <c r="C705" s="8">
        <v>46083</v>
      </c>
      <c r="D705" s="9">
        <v>28821</v>
      </c>
    </row>
    <row r="706" spans="1:4">
      <c r="A706" t="s">
        <v>9</v>
      </c>
      <c r="B706" t="s">
        <v>173</v>
      </c>
      <c r="C706" s="8">
        <v>46083</v>
      </c>
      <c r="D706" s="9">
        <v>32610</v>
      </c>
    </row>
    <row r="707" spans="1:4">
      <c r="A707" t="s">
        <v>9</v>
      </c>
      <c r="B707" t="s">
        <v>79</v>
      </c>
      <c r="C707" s="8">
        <v>46083</v>
      </c>
      <c r="D707" s="9">
        <v>49527</v>
      </c>
    </row>
    <row r="708" spans="1:4">
      <c r="A708" t="s">
        <v>5</v>
      </c>
      <c r="B708" t="s">
        <v>138</v>
      </c>
      <c r="C708" s="8">
        <v>46083</v>
      </c>
      <c r="D708" s="9">
        <v>47508</v>
      </c>
    </row>
    <row r="709" spans="1:4">
      <c r="A709" t="s">
        <v>5</v>
      </c>
      <c r="B709" t="s">
        <v>138</v>
      </c>
      <c r="C709" s="8">
        <v>46083</v>
      </c>
      <c r="D709" s="9">
        <v>34543</v>
      </c>
    </row>
    <row r="710" spans="1:4">
      <c r="A710" t="s">
        <v>5</v>
      </c>
      <c r="B710" t="s">
        <v>94</v>
      </c>
      <c r="C710" s="8">
        <v>46083</v>
      </c>
      <c r="D710" s="9">
        <v>31915</v>
      </c>
    </row>
    <row r="711" spans="1:4">
      <c r="A711" t="s">
        <v>5</v>
      </c>
      <c r="B711" t="s">
        <v>188</v>
      </c>
      <c r="C711" s="8">
        <v>46083</v>
      </c>
      <c r="D711" s="9">
        <v>42373</v>
      </c>
    </row>
    <row r="712" spans="1:4">
      <c r="A712" t="s">
        <v>5</v>
      </c>
      <c r="B712" t="s">
        <v>174</v>
      </c>
      <c r="C712" s="8">
        <v>46083</v>
      </c>
      <c r="D712" s="9">
        <v>50913</v>
      </c>
    </row>
    <row r="713" spans="1:4">
      <c r="A713" t="s">
        <v>4</v>
      </c>
      <c r="B713" t="s">
        <v>271</v>
      </c>
      <c r="C713" s="8">
        <v>46084</v>
      </c>
      <c r="D713" s="9">
        <v>26586</v>
      </c>
    </row>
    <row r="714" spans="1:4">
      <c r="A714" t="s">
        <v>30</v>
      </c>
      <c r="B714" t="s">
        <v>111</v>
      </c>
      <c r="C714" s="8">
        <v>46084</v>
      </c>
      <c r="D714" s="9">
        <v>6042</v>
      </c>
    </row>
    <row r="715" spans="1:4">
      <c r="A715" t="s">
        <v>30</v>
      </c>
      <c r="B715" t="s">
        <v>156</v>
      </c>
      <c r="C715" s="8">
        <v>46084</v>
      </c>
      <c r="D715" s="9">
        <v>13602</v>
      </c>
    </row>
    <row r="716" spans="1:4">
      <c r="A716" t="s">
        <v>9</v>
      </c>
      <c r="B716" t="s">
        <v>91</v>
      </c>
      <c r="C716" s="8">
        <v>46084</v>
      </c>
      <c r="D716" s="9">
        <v>40719</v>
      </c>
    </row>
    <row r="717" spans="1:4">
      <c r="A717" t="s">
        <v>9</v>
      </c>
      <c r="B717" t="s">
        <v>147</v>
      </c>
      <c r="C717" s="8">
        <v>46084</v>
      </c>
      <c r="D717" s="9">
        <v>29513</v>
      </c>
    </row>
    <row r="718" spans="1:4">
      <c r="A718" t="s">
        <v>9</v>
      </c>
      <c r="B718" t="s">
        <v>178</v>
      </c>
      <c r="C718" s="8">
        <v>46084</v>
      </c>
      <c r="D718" s="9">
        <v>37821</v>
      </c>
    </row>
    <row r="719" spans="1:4">
      <c r="A719" t="s">
        <v>9</v>
      </c>
      <c r="B719" t="s">
        <v>150</v>
      </c>
      <c r="C719" s="8">
        <v>46084</v>
      </c>
      <c r="D719" s="9">
        <v>29039</v>
      </c>
    </row>
    <row r="720" spans="1:4">
      <c r="A720" t="s">
        <v>5</v>
      </c>
      <c r="B720" t="s">
        <v>104</v>
      </c>
      <c r="C720" s="8">
        <v>46084</v>
      </c>
      <c r="D720" s="9">
        <v>49696</v>
      </c>
    </row>
    <row r="721" spans="1:4">
      <c r="A721" t="s">
        <v>5</v>
      </c>
      <c r="B721" t="s">
        <v>196</v>
      </c>
      <c r="C721" s="8">
        <v>46084</v>
      </c>
      <c r="D721" s="9">
        <v>40949</v>
      </c>
    </row>
    <row r="722" spans="1:4">
      <c r="A722" t="s">
        <v>5</v>
      </c>
      <c r="B722" t="s">
        <v>188</v>
      </c>
      <c r="C722" s="8">
        <v>46084</v>
      </c>
      <c r="D722" s="9">
        <v>54320</v>
      </c>
    </row>
    <row r="723" spans="1:4">
      <c r="A723" t="s">
        <v>5</v>
      </c>
      <c r="B723" t="s">
        <v>141</v>
      </c>
      <c r="C723" s="8">
        <v>46084</v>
      </c>
      <c r="D723" s="9">
        <v>34650</v>
      </c>
    </row>
    <row r="724" spans="1:4">
      <c r="A724" t="s">
        <v>27</v>
      </c>
      <c r="B724" t="s">
        <v>142</v>
      </c>
      <c r="C724" s="8">
        <v>46085</v>
      </c>
      <c r="D724" s="9">
        <v>11643</v>
      </c>
    </row>
    <row r="725" spans="1:4">
      <c r="A725" t="s">
        <v>25</v>
      </c>
      <c r="B725" t="s">
        <v>127</v>
      </c>
      <c r="C725" s="8">
        <v>46085</v>
      </c>
      <c r="D725" s="9">
        <v>10321</v>
      </c>
    </row>
    <row r="726" spans="1:4">
      <c r="A726" t="s">
        <v>28</v>
      </c>
      <c r="B726" t="s">
        <v>154</v>
      </c>
      <c r="C726" s="8">
        <v>46085</v>
      </c>
      <c r="D726" s="9">
        <v>14270</v>
      </c>
    </row>
    <row r="727" spans="1:4">
      <c r="A727" t="s">
        <v>26</v>
      </c>
      <c r="B727" t="s">
        <v>281</v>
      </c>
      <c r="C727" s="8">
        <v>46085</v>
      </c>
      <c r="D727" s="9">
        <v>17136</v>
      </c>
    </row>
    <row r="728" spans="1:4">
      <c r="A728" t="s">
        <v>8</v>
      </c>
      <c r="B728" t="s">
        <v>143</v>
      </c>
      <c r="C728" s="8">
        <v>46085</v>
      </c>
      <c r="D728" s="9">
        <v>5200</v>
      </c>
    </row>
    <row r="729" spans="1:4">
      <c r="A729" t="s">
        <v>6</v>
      </c>
      <c r="B729" t="s">
        <v>76</v>
      </c>
      <c r="C729" s="8">
        <v>46085</v>
      </c>
      <c r="D729" s="9">
        <v>28681</v>
      </c>
    </row>
    <row r="730" spans="1:4">
      <c r="A730" t="s">
        <v>9</v>
      </c>
      <c r="B730" t="s">
        <v>208</v>
      </c>
      <c r="C730" s="8">
        <v>46085</v>
      </c>
      <c r="D730" s="9">
        <v>29163</v>
      </c>
    </row>
    <row r="731" spans="1:4">
      <c r="A731" t="s">
        <v>9</v>
      </c>
      <c r="B731" t="s">
        <v>131</v>
      </c>
      <c r="C731" s="8">
        <v>46085</v>
      </c>
      <c r="D731" s="9">
        <v>26362</v>
      </c>
    </row>
    <row r="732" spans="1:4">
      <c r="A732" t="s">
        <v>5</v>
      </c>
      <c r="B732" t="s">
        <v>94</v>
      </c>
      <c r="C732" s="8">
        <v>46085</v>
      </c>
      <c r="D732" s="9">
        <v>44714</v>
      </c>
    </row>
    <row r="733" spans="1:4">
      <c r="A733" t="s">
        <v>5</v>
      </c>
      <c r="B733" t="s">
        <v>197</v>
      </c>
      <c r="C733" s="8">
        <v>46085</v>
      </c>
      <c r="D733" s="9">
        <v>42108</v>
      </c>
    </row>
    <row r="734" spans="1:4">
      <c r="A734" t="s">
        <v>5</v>
      </c>
      <c r="B734" t="s">
        <v>105</v>
      </c>
      <c r="C734" s="8">
        <v>46085</v>
      </c>
      <c r="D734" s="9">
        <v>42927</v>
      </c>
    </row>
    <row r="735" spans="1:4">
      <c r="A735" t="s">
        <v>5</v>
      </c>
      <c r="B735" t="s">
        <v>141</v>
      </c>
      <c r="C735" s="8">
        <v>46085</v>
      </c>
      <c r="D735" s="9">
        <v>41078</v>
      </c>
    </row>
    <row r="736" spans="1:4">
      <c r="A736" t="s">
        <v>27</v>
      </c>
      <c r="B736" t="s">
        <v>160</v>
      </c>
      <c r="C736" s="8">
        <v>46086</v>
      </c>
      <c r="D736" s="9">
        <v>16103</v>
      </c>
    </row>
    <row r="737" spans="1:4">
      <c r="A737" t="s">
        <v>25</v>
      </c>
      <c r="B737" t="s">
        <v>175</v>
      </c>
      <c r="C737" s="8">
        <v>46086</v>
      </c>
      <c r="D737" s="9">
        <v>21556</v>
      </c>
    </row>
    <row r="738" spans="1:4">
      <c r="A738" t="s">
        <v>32</v>
      </c>
      <c r="B738" t="s">
        <v>224</v>
      </c>
      <c r="C738" s="8">
        <v>46086</v>
      </c>
      <c r="D738" s="9">
        <v>14832</v>
      </c>
    </row>
    <row r="739" spans="1:4">
      <c r="A739" t="s">
        <v>6</v>
      </c>
      <c r="B739" t="s">
        <v>176</v>
      </c>
      <c r="C739" s="8">
        <v>46086</v>
      </c>
      <c r="D739" s="9">
        <v>24241</v>
      </c>
    </row>
    <row r="740" spans="1:4">
      <c r="A740" t="s">
        <v>6</v>
      </c>
      <c r="B740" t="s">
        <v>74</v>
      </c>
      <c r="C740" s="8">
        <v>46086</v>
      </c>
      <c r="D740" s="9">
        <v>5674</v>
      </c>
    </row>
    <row r="741" spans="1:4">
      <c r="A741" t="s">
        <v>6</v>
      </c>
      <c r="B741" t="s">
        <v>177</v>
      </c>
      <c r="C741" s="8">
        <v>46086</v>
      </c>
      <c r="D741" s="9">
        <v>29033</v>
      </c>
    </row>
    <row r="742" spans="1:4">
      <c r="A742" t="s">
        <v>29</v>
      </c>
      <c r="B742" t="s">
        <v>255</v>
      </c>
      <c r="C742" s="8">
        <v>46086</v>
      </c>
      <c r="D742" s="9">
        <v>32395</v>
      </c>
    </row>
    <row r="743" spans="1:4">
      <c r="A743" t="s">
        <v>29</v>
      </c>
      <c r="B743" t="s">
        <v>165</v>
      </c>
      <c r="C743" s="8">
        <v>46086</v>
      </c>
      <c r="D743" s="9">
        <v>18776</v>
      </c>
    </row>
    <row r="744" spans="1:4">
      <c r="A744" t="s">
        <v>5</v>
      </c>
      <c r="B744" t="s">
        <v>95</v>
      </c>
      <c r="C744" s="8">
        <v>46086</v>
      </c>
      <c r="D744" s="9">
        <v>44563</v>
      </c>
    </row>
    <row r="745" spans="1:4">
      <c r="A745" t="s">
        <v>5</v>
      </c>
      <c r="B745" t="s">
        <v>191</v>
      </c>
      <c r="C745" s="8">
        <v>46086</v>
      </c>
      <c r="D745" s="9">
        <v>20339</v>
      </c>
    </row>
    <row r="746" spans="1:4">
      <c r="A746" t="s">
        <v>5</v>
      </c>
      <c r="B746" t="s">
        <v>167</v>
      </c>
      <c r="C746" s="8">
        <v>46086</v>
      </c>
      <c r="D746" s="9">
        <v>38353</v>
      </c>
    </row>
    <row r="747" spans="1:4">
      <c r="A747" t="s">
        <v>5</v>
      </c>
      <c r="B747" t="s">
        <v>53</v>
      </c>
      <c r="C747" s="8">
        <v>46086</v>
      </c>
      <c r="D747" s="9">
        <v>46478</v>
      </c>
    </row>
    <row r="748" spans="1:4">
      <c r="A748" t="s">
        <v>5</v>
      </c>
      <c r="B748" t="s">
        <v>105</v>
      </c>
      <c r="C748" s="8">
        <v>46086</v>
      </c>
      <c r="D748" s="9">
        <v>46880</v>
      </c>
    </row>
    <row r="749" spans="1:4">
      <c r="A749" t="s">
        <v>28</v>
      </c>
      <c r="B749" t="s">
        <v>107</v>
      </c>
      <c r="C749" s="8">
        <v>46087</v>
      </c>
      <c r="D749" s="9">
        <v>26770</v>
      </c>
    </row>
    <row r="750" spans="1:4">
      <c r="A750" t="s">
        <v>8</v>
      </c>
      <c r="B750" t="s">
        <v>194</v>
      </c>
      <c r="C750" s="8">
        <v>46087</v>
      </c>
      <c r="D750" s="9">
        <v>26918</v>
      </c>
    </row>
    <row r="751" spans="1:4">
      <c r="A751" t="s">
        <v>6</v>
      </c>
      <c r="B751" t="s">
        <v>161</v>
      </c>
      <c r="C751" s="8">
        <v>46087</v>
      </c>
      <c r="D751" s="9">
        <v>44365</v>
      </c>
    </row>
    <row r="752" spans="1:4">
      <c r="A752" t="s">
        <v>6</v>
      </c>
      <c r="B752" t="s">
        <v>247</v>
      </c>
      <c r="C752" s="8">
        <v>46087</v>
      </c>
      <c r="D752" s="9">
        <v>26230</v>
      </c>
    </row>
    <row r="753" spans="1:4">
      <c r="A753" t="s">
        <v>6</v>
      </c>
      <c r="B753" t="s">
        <v>217</v>
      </c>
      <c r="C753" s="8">
        <v>46087</v>
      </c>
      <c r="D753" s="9">
        <v>23551</v>
      </c>
    </row>
    <row r="754" spans="1:4">
      <c r="A754" t="s">
        <v>7</v>
      </c>
      <c r="B754" t="s">
        <v>235</v>
      </c>
      <c r="C754" s="8">
        <v>46087</v>
      </c>
      <c r="D754" s="9">
        <v>27614</v>
      </c>
    </row>
    <row r="755" spans="1:4">
      <c r="A755" t="s">
        <v>7</v>
      </c>
      <c r="B755" t="s">
        <v>257</v>
      </c>
      <c r="C755" s="8">
        <v>46087</v>
      </c>
      <c r="D755" s="9">
        <v>34364</v>
      </c>
    </row>
    <row r="756" spans="1:4">
      <c r="A756" t="s">
        <v>9</v>
      </c>
      <c r="B756" t="s">
        <v>173</v>
      </c>
      <c r="C756" s="8">
        <v>46087</v>
      </c>
      <c r="D756" s="9">
        <v>31447</v>
      </c>
    </row>
    <row r="757" spans="1:4">
      <c r="A757" t="s">
        <v>9</v>
      </c>
      <c r="B757" t="s">
        <v>150</v>
      </c>
      <c r="C757" s="8">
        <v>46087</v>
      </c>
      <c r="D757" s="9">
        <v>25360</v>
      </c>
    </row>
    <row r="758" spans="1:4">
      <c r="A758" t="s">
        <v>5</v>
      </c>
      <c r="B758" t="s">
        <v>110</v>
      </c>
      <c r="C758" s="8">
        <v>46087</v>
      </c>
      <c r="D758" s="9">
        <v>27226</v>
      </c>
    </row>
    <row r="759" spans="1:4">
      <c r="A759" t="s">
        <v>5</v>
      </c>
      <c r="B759" t="s">
        <v>95</v>
      </c>
      <c r="C759" s="8">
        <v>46087</v>
      </c>
      <c r="D759" s="9">
        <v>39877</v>
      </c>
    </row>
    <row r="760" spans="1:4">
      <c r="A760" t="s">
        <v>5</v>
      </c>
      <c r="B760" t="s">
        <v>190</v>
      </c>
      <c r="C760" s="8">
        <v>46087</v>
      </c>
      <c r="D760" s="9">
        <v>34043</v>
      </c>
    </row>
    <row r="761" spans="1:4">
      <c r="A761" t="s">
        <v>5</v>
      </c>
      <c r="B761" t="s">
        <v>197</v>
      </c>
      <c r="C761" s="8">
        <v>46087</v>
      </c>
      <c r="D761" s="9">
        <v>40857</v>
      </c>
    </row>
    <row r="762" spans="1:4">
      <c r="A762" t="s">
        <v>5</v>
      </c>
      <c r="B762" t="s">
        <v>168</v>
      </c>
      <c r="C762" s="8">
        <v>46087</v>
      </c>
      <c r="D762" s="9">
        <v>41366</v>
      </c>
    </row>
    <row r="763" spans="1:4">
      <c r="A763" t="s">
        <v>27</v>
      </c>
      <c r="B763" t="s">
        <v>250</v>
      </c>
      <c r="C763" s="8">
        <v>46088</v>
      </c>
      <c r="D763" s="9">
        <v>20154</v>
      </c>
    </row>
    <row r="764" spans="1:4">
      <c r="A764" t="s">
        <v>4</v>
      </c>
      <c r="B764" t="s">
        <v>193</v>
      </c>
      <c r="C764" s="8">
        <v>46088</v>
      </c>
      <c r="D764" s="9">
        <v>37624</v>
      </c>
    </row>
    <row r="765" spans="1:4">
      <c r="A765" t="s">
        <v>28</v>
      </c>
      <c r="B765" t="s">
        <v>240</v>
      </c>
      <c r="C765" s="8">
        <v>46088</v>
      </c>
      <c r="D765" s="9">
        <v>14862</v>
      </c>
    </row>
    <row r="766" spans="1:4">
      <c r="A766" t="s">
        <v>8</v>
      </c>
      <c r="B766" t="s">
        <v>162</v>
      </c>
      <c r="C766" s="8">
        <v>46088</v>
      </c>
      <c r="D766" s="9">
        <v>21233</v>
      </c>
    </row>
    <row r="767" spans="1:4">
      <c r="A767" t="s">
        <v>7</v>
      </c>
      <c r="B767" t="s">
        <v>228</v>
      </c>
      <c r="C767" s="8">
        <v>46088</v>
      </c>
      <c r="D767" s="9">
        <v>27858</v>
      </c>
    </row>
    <row r="768" spans="1:4">
      <c r="A768" t="s">
        <v>5</v>
      </c>
      <c r="B768" t="s">
        <v>115</v>
      </c>
      <c r="C768" s="8">
        <v>46088</v>
      </c>
      <c r="D768" s="9">
        <v>28435</v>
      </c>
    </row>
    <row r="769" spans="1:4">
      <c r="A769" t="s">
        <v>5</v>
      </c>
      <c r="B769" t="s">
        <v>243</v>
      </c>
      <c r="C769" s="8">
        <v>46088</v>
      </c>
      <c r="D769" s="9">
        <v>29999</v>
      </c>
    </row>
    <row r="770" spans="1:4">
      <c r="A770" t="s">
        <v>5</v>
      </c>
      <c r="B770" t="s">
        <v>167</v>
      </c>
      <c r="C770" s="8">
        <v>46088</v>
      </c>
      <c r="D770" s="9">
        <v>41943</v>
      </c>
    </row>
    <row r="771" spans="1:4">
      <c r="A771" t="s">
        <v>4</v>
      </c>
      <c r="B771" t="s">
        <v>151</v>
      </c>
      <c r="C771" s="8">
        <v>46089</v>
      </c>
      <c r="D771" s="9">
        <v>33852</v>
      </c>
    </row>
    <row r="772" spans="1:4">
      <c r="A772" t="s">
        <v>4</v>
      </c>
      <c r="B772" t="s">
        <v>260</v>
      </c>
      <c r="C772" s="8">
        <v>46089</v>
      </c>
      <c r="D772" s="9">
        <v>7193</v>
      </c>
    </row>
    <row r="773" spans="1:4">
      <c r="A773" t="s">
        <v>4</v>
      </c>
      <c r="B773" t="s">
        <v>53</v>
      </c>
      <c r="C773" s="8">
        <v>46089</v>
      </c>
      <c r="D773" s="9">
        <v>44417</v>
      </c>
    </row>
    <row r="774" spans="1:4">
      <c r="A774" t="s">
        <v>8</v>
      </c>
      <c r="B774" t="s">
        <v>163</v>
      </c>
      <c r="C774" s="8">
        <v>46089</v>
      </c>
      <c r="D774" s="9">
        <v>5994</v>
      </c>
    </row>
    <row r="775" spans="1:4">
      <c r="A775" t="s">
        <v>33</v>
      </c>
      <c r="B775" t="s">
        <v>128</v>
      </c>
      <c r="C775" s="8">
        <v>46089</v>
      </c>
      <c r="D775" s="9">
        <v>17564</v>
      </c>
    </row>
    <row r="776" spans="1:4">
      <c r="A776" t="s">
        <v>9</v>
      </c>
      <c r="B776" t="s">
        <v>269</v>
      </c>
      <c r="C776" s="8">
        <v>46089</v>
      </c>
      <c r="D776" s="9">
        <v>31715</v>
      </c>
    </row>
    <row r="777" spans="1:4">
      <c r="A777" t="s">
        <v>9</v>
      </c>
      <c r="B777" t="s">
        <v>269</v>
      </c>
      <c r="C777" s="8">
        <v>46089</v>
      </c>
      <c r="D777" s="9">
        <v>27129</v>
      </c>
    </row>
    <row r="778" spans="1:4">
      <c r="A778" t="s">
        <v>9</v>
      </c>
      <c r="B778" t="s">
        <v>206</v>
      </c>
      <c r="C778" s="8">
        <v>46089</v>
      </c>
      <c r="D778" s="9">
        <v>47240</v>
      </c>
    </row>
    <row r="779" spans="1:4">
      <c r="A779" t="s">
        <v>9</v>
      </c>
      <c r="B779" t="s">
        <v>57</v>
      </c>
      <c r="C779" s="8">
        <v>46089</v>
      </c>
      <c r="D779" s="9">
        <v>20771</v>
      </c>
    </row>
    <row r="780" spans="1:4">
      <c r="A780" t="s">
        <v>5</v>
      </c>
      <c r="B780" t="s">
        <v>115</v>
      </c>
      <c r="C780" s="8">
        <v>46089</v>
      </c>
      <c r="D780" s="9">
        <v>35148</v>
      </c>
    </row>
    <row r="781" spans="1:4">
      <c r="A781" t="s">
        <v>5</v>
      </c>
      <c r="B781" t="s">
        <v>158</v>
      </c>
      <c r="C781" s="8">
        <v>46089</v>
      </c>
      <c r="D781" s="9">
        <v>50332</v>
      </c>
    </row>
    <row r="782" spans="1:4">
      <c r="A782" t="s">
        <v>5</v>
      </c>
      <c r="B782" t="s">
        <v>103</v>
      </c>
      <c r="C782" s="8">
        <v>46089</v>
      </c>
      <c r="D782" s="9">
        <v>40465</v>
      </c>
    </row>
    <row r="783" spans="1:4">
      <c r="A783" t="s">
        <v>4</v>
      </c>
      <c r="B783" t="s">
        <v>62</v>
      </c>
      <c r="C783" s="8">
        <v>46090</v>
      </c>
      <c r="D783" s="9">
        <v>48953</v>
      </c>
    </row>
    <row r="784" spans="1:4">
      <c r="A784" t="s">
        <v>4</v>
      </c>
      <c r="B784" t="s">
        <v>238</v>
      </c>
      <c r="C784" s="8">
        <v>46090</v>
      </c>
      <c r="D784" s="9">
        <v>32132</v>
      </c>
    </row>
    <row r="785" spans="1:4">
      <c r="A785" t="s">
        <v>4</v>
      </c>
      <c r="B785" t="s">
        <v>161</v>
      </c>
      <c r="C785" s="8">
        <v>46090</v>
      </c>
      <c r="D785" s="9">
        <v>40413</v>
      </c>
    </row>
    <row r="786" spans="1:4">
      <c r="A786" t="s">
        <v>4</v>
      </c>
      <c r="B786" t="s">
        <v>117</v>
      </c>
      <c r="C786" s="8">
        <v>46090</v>
      </c>
      <c r="D786" s="9">
        <v>32045</v>
      </c>
    </row>
    <row r="787" spans="1:4">
      <c r="A787" t="s">
        <v>28</v>
      </c>
      <c r="B787" t="s">
        <v>71</v>
      </c>
      <c r="C787" s="8">
        <v>46090</v>
      </c>
      <c r="D787" s="9">
        <v>14249</v>
      </c>
    </row>
    <row r="788" spans="1:4">
      <c r="A788" t="s">
        <v>28</v>
      </c>
      <c r="B788" t="s">
        <v>222</v>
      </c>
      <c r="C788" s="8">
        <v>46090</v>
      </c>
      <c r="D788" s="9">
        <v>9946</v>
      </c>
    </row>
    <row r="789" spans="1:4">
      <c r="A789" t="s">
        <v>36</v>
      </c>
      <c r="B789" t="s">
        <v>248</v>
      </c>
      <c r="C789" s="8">
        <v>46090</v>
      </c>
      <c r="D789" s="9">
        <v>12819</v>
      </c>
    </row>
    <row r="790" spans="1:4">
      <c r="A790" t="s">
        <v>30</v>
      </c>
      <c r="B790" t="s">
        <v>273</v>
      </c>
      <c r="C790" s="8">
        <v>46090</v>
      </c>
      <c r="D790" s="9">
        <v>12895</v>
      </c>
    </row>
    <row r="791" spans="1:4">
      <c r="A791" t="s">
        <v>7</v>
      </c>
      <c r="B791" t="s">
        <v>113</v>
      </c>
      <c r="C791" s="8">
        <v>46090</v>
      </c>
      <c r="D791" s="9">
        <v>30720</v>
      </c>
    </row>
    <row r="792" spans="1:4">
      <c r="A792" t="s">
        <v>9</v>
      </c>
      <c r="B792" t="s">
        <v>264</v>
      </c>
      <c r="C792" s="8">
        <v>46090</v>
      </c>
      <c r="D792" s="9">
        <v>33956</v>
      </c>
    </row>
    <row r="793" spans="1:4">
      <c r="A793" t="s">
        <v>9</v>
      </c>
      <c r="B793" t="s">
        <v>102</v>
      </c>
      <c r="C793" s="8">
        <v>46090</v>
      </c>
      <c r="D793" s="9">
        <v>34086</v>
      </c>
    </row>
    <row r="794" spans="1:4">
      <c r="A794" t="s">
        <v>5</v>
      </c>
      <c r="B794" t="s">
        <v>115</v>
      </c>
      <c r="C794" s="8">
        <v>46090</v>
      </c>
      <c r="D794" s="9">
        <v>37299</v>
      </c>
    </row>
    <row r="795" spans="1:4">
      <c r="A795" t="s">
        <v>5</v>
      </c>
      <c r="B795" t="s">
        <v>93</v>
      </c>
      <c r="C795" s="8">
        <v>46090</v>
      </c>
      <c r="D795" s="9">
        <v>52853</v>
      </c>
    </row>
    <row r="796" spans="1:4">
      <c r="A796" t="s">
        <v>5</v>
      </c>
      <c r="B796" t="s">
        <v>103</v>
      </c>
      <c r="C796" s="8">
        <v>46090</v>
      </c>
      <c r="D796" s="9">
        <v>39755</v>
      </c>
    </row>
    <row r="797" spans="1:4">
      <c r="A797" t="s">
        <v>5</v>
      </c>
      <c r="B797" t="s">
        <v>139</v>
      </c>
      <c r="C797" s="8">
        <v>46090</v>
      </c>
      <c r="D797" s="9">
        <v>37746</v>
      </c>
    </row>
    <row r="798" spans="1:4">
      <c r="A798" t="s">
        <v>5</v>
      </c>
      <c r="B798" t="s">
        <v>183</v>
      </c>
      <c r="C798" s="8">
        <v>46090</v>
      </c>
      <c r="D798" s="9">
        <v>32528</v>
      </c>
    </row>
    <row r="799" spans="1:4">
      <c r="A799" t="s">
        <v>5</v>
      </c>
      <c r="B799" t="s">
        <v>140</v>
      </c>
      <c r="C799" s="8">
        <v>46090</v>
      </c>
      <c r="D799" s="9">
        <v>41394</v>
      </c>
    </row>
    <row r="800" spans="1:4">
      <c r="A800" t="s">
        <v>5</v>
      </c>
      <c r="B800" t="s">
        <v>146</v>
      </c>
      <c r="C800" s="8">
        <v>46090</v>
      </c>
      <c r="D800" s="9">
        <v>58170</v>
      </c>
    </row>
    <row r="801" spans="1:4">
      <c r="A801" t="s">
        <v>5</v>
      </c>
      <c r="B801" t="s">
        <v>125</v>
      </c>
      <c r="C801" s="8">
        <v>46090</v>
      </c>
      <c r="D801" s="9">
        <v>52344</v>
      </c>
    </row>
    <row r="802" spans="1:4">
      <c r="A802" t="s">
        <v>35</v>
      </c>
      <c r="B802" t="s">
        <v>210</v>
      </c>
      <c r="C802" s="8">
        <v>46091</v>
      </c>
      <c r="D802" s="9">
        <v>5200</v>
      </c>
    </row>
    <row r="803" spans="1:4">
      <c r="A803" t="s">
        <v>38</v>
      </c>
      <c r="B803" t="s">
        <v>69</v>
      </c>
      <c r="C803" s="8">
        <v>46091</v>
      </c>
      <c r="D803" s="9">
        <v>14662</v>
      </c>
    </row>
    <row r="804" spans="1:4">
      <c r="A804" t="s">
        <v>4</v>
      </c>
      <c r="B804" t="s">
        <v>212</v>
      </c>
      <c r="C804" s="8">
        <v>46091</v>
      </c>
      <c r="D804" s="9">
        <v>37509</v>
      </c>
    </row>
    <row r="805" spans="1:4">
      <c r="A805" t="s">
        <v>4</v>
      </c>
      <c r="B805" t="s">
        <v>119</v>
      </c>
      <c r="C805" s="8">
        <v>46091</v>
      </c>
      <c r="D805" s="9">
        <v>42196</v>
      </c>
    </row>
    <row r="806" spans="1:4">
      <c r="A806" t="s">
        <v>25</v>
      </c>
      <c r="B806" t="s">
        <v>239</v>
      </c>
      <c r="C806" s="8">
        <v>46091</v>
      </c>
      <c r="D806" s="9">
        <v>15524</v>
      </c>
    </row>
    <row r="807" spans="1:4">
      <c r="A807" t="s">
        <v>30</v>
      </c>
      <c r="B807" t="s">
        <v>55</v>
      </c>
      <c r="C807" s="8">
        <v>46091</v>
      </c>
      <c r="D807" s="9">
        <v>14985</v>
      </c>
    </row>
    <row r="808" spans="1:4">
      <c r="A808" t="s">
        <v>8</v>
      </c>
      <c r="B808" t="s">
        <v>194</v>
      </c>
      <c r="C808" s="8">
        <v>46091</v>
      </c>
      <c r="D808" s="9">
        <v>19404</v>
      </c>
    </row>
    <row r="809" spans="1:4">
      <c r="A809" t="s">
        <v>8</v>
      </c>
      <c r="B809" t="s">
        <v>86</v>
      </c>
      <c r="C809" s="8">
        <v>46091</v>
      </c>
      <c r="D809" s="9">
        <v>22920</v>
      </c>
    </row>
    <row r="810" spans="1:4">
      <c r="A810" t="s">
        <v>8</v>
      </c>
      <c r="B810" t="s">
        <v>170</v>
      </c>
      <c r="C810" s="8">
        <v>46091</v>
      </c>
      <c r="D810" s="9">
        <v>21855</v>
      </c>
    </row>
    <row r="811" spans="1:4">
      <c r="A811" t="s">
        <v>6</v>
      </c>
      <c r="B811" t="s">
        <v>220</v>
      </c>
      <c r="C811" s="8">
        <v>46091</v>
      </c>
      <c r="D811" s="9">
        <v>25501</v>
      </c>
    </row>
    <row r="812" spans="1:4">
      <c r="A812" t="s">
        <v>6</v>
      </c>
      <c r="B812" t="s">
        <v>186</v>
      </c>
      <c r="C812" s="8">
        <v>46091</v>
      </c>
      <c r="D812" s="9">
        <v>27915</v>
      </c>
    </row>
    <row r="813" spans="1:4">
      <c r="A813" t="s">
        <v>7</v>
      </c>
      <c r="B813" t="s">
        <v>70</v>
      </c>
      <c r="C813" s="8">
        <v>46091</v>
      </c>
      <c r="D813" s="9">
        <v>35122</v>
      </c>
    </row>
    <row r="814" spans="1:4">
      <c r="A814" t="s">
        <v>9</v>
      </c>
      <c r="B814" t="s">
        <v>136</v>
      </c>
      <c r="C814" s="8">
        <v>46091</v>
      </c>
      <c r="D814" s="9">
        <v>26567</v>
      </c>
    </row>
    <row r="815" spans="1:4">
      <c r="A815" t="s">
        <v>5</v>
      </c>
      <c r="B815" t="s">
        <v>124</v>
      </c>
      <c r="C815" s="8">
        <v>46091</v>
      </c>
      <c r="D815" s="9">
        <v>44932</v>
      </c>
    </row>
    <row r="816" spans="1:4">
      <c r="A816" t="s">
        <v>5</v>
      </c>
      <c r="B816" t="s">
        <v>103</v>
      </c>
      <c r="C816" s="8">
        <v>46091</v>
      </c>
      <c r="D816" s="9">
        <v>42143</v>
      </c>
    </row>
    <row r="817" spans="1:4">
      <c r="A817" t="s">
        <v>5</v>
      </c>
      <c r="B817" t="s">
        <v>60</v>
      </c>
      <c r="C817" s="8">
        <v>46091</v>
      </c>
      <c r="D817" s="9">
        <v>58327</v>
      </c>
    </row>
    <row r="818" spans="1:4">
      <c r="A818" t="s">
        <v>5</v>
      </c>
      <c r="B818" t="s">
        <v>95</v>
      </c>
      <c r="C818" s="8">
        <v>46091</v>
      </c>
      <c r="D818" s="9">
        <v>39370</v>
      </c>
    </row>
    <row r="819" spans="1:4">
      <c r="A819" t="s">
        <v>5</v>
      </c>
      <c r="B819" t="s">
        <v>95</v>
      </c>
      <c r="C819" s="8">
        <v>46091</v>
      </c>
      <c r="D819" s="9">
        <v>37108</v>
      </c>
    </row>
    <row r="820" spans="1:4">
      <c r="A820" t="s">
        <v>5</v>
      </c>
      <c r="B820" t="s">
        <v>190</v>
      </c>
      <c r="C820" s="8">
        <v>46091</v>
      </c>
      <c r="D820" s="9">
        <v>35440</v>
      </c>
    </row>
    <row r="821" spans="1:4">
      <c r="A821" t="s">
        <v>5</v>
      </c>
      <c r="B821" t="s">
        <v>125</v>
      </c>
      <c r="C821" s="8">
        <v>46091</v>
      </c>
      <c r="D821" s="9">
        <v>51379</v>
      </c>
    </row>
    <row r="822" spans="1:4">
      <c r="A822" t="s">
        <v>4</v>
      </c>
      <c r="B822" t="s">
        <v>61</v>
      </c>
      <c r="C822" s="8">
        <v>46092</v>
      </c>
      <c r="D822" s="9">
        <v>36713</v>
      </c>
    </row>
    <row r="823" spans="1:4">
      <c r="A823" t="s">
        <v>4</v>
      </c>
      <c r="B823" t="s">
        <v>241</v>
      </c>
      <c r="C823" s="8">
        <v>46092</v>
      </c>
      <c r="D823" s="9">
        <v>41556</v>
      </c>
    </row>
    <row r="824" spans="1:4">
      <c r="A824" t="s">
        <v>4</v>
      </c>
      <c r="B824" t="s">
        <v>198</v>
      </c>
      <c r="C824" s="8">
        <v>46092</v>
      </c>
      <c r="D824" s="9">
        <v>23643</v>
      </c>
    </row>
    <row r="825" spans="1:4">
      <c r="A825" t="s">
        <v>26</v>
      </c>
      <c r="B825" t="s">
        <v>67</v>
      </c>
      <c r="C825" s="8">
        <v>46092</v>
      </c>
      <c r="D825" s="9">
        <v>15472</v>
      </c>
    </row>
    <row r="826" spans="1:4">
      <c r="A826" t="s">
        <v>26</v>
      </c>
      <c r="B826" t="s">
        <v>251</v>
      </c>
      <c r="C826" s="8">
        <v>46092</v>
      </c>
      <c r="D826" s="9">
        <v>13288</v>
      </c>
    </row>
    <row r="827" spans="1:4">
      <c r="A827" t="s">
        <v>30</v>
      </c>
      <c r="B827" t="s">
        <v>157</v>
      </c>
      <c r="C827" s="8">
        <v>46092</v>
      </c>
      <c r="D827" s="9">
        <v>16449</v>
      </c>
    </row>
    <row r="828" spans="1:4">
      <c r="A828" t="s">
        <v>6</v>
      </c>
      <c r="B828" t="s">
        <v>217</v>
      </c>
      <c r="C828" s="8">
        <v>46092</v>
      </c>
      <c r="D828" s="9">
        <v>26400</v>
      </c>
    </row>
    <row r="829" spans="1:4">
      <c r="A829" t="s">
        <v>7</v>
      </c>
      <c r="B829" t="s">
        <v>114</v>
      </c>
      <c r="C829" s="8">
        <v>46092</v>
      </c>
      <c r="D829" s="9">
        <v>42595</v>
      </c>
    </row>
    <row r="830" spans="1:4">
      <c r="A830" t="s">
        <v>7</v>
      </c>
      <c r="B830" t="s">
        <v>172</v>
      </c>
      <c r="C830" s="8">
        <v>46092</v>
      </c>
      <c r="D830" s="9">
        <v>30067</v>
      </c>
    </row>
    <row r="831" spans="1:4">
      <c r="A831" t="s">
        <v>7</v>
      </c>
      <c r="B831" t="s">
        <v>282</v>
      </c>
      <c r="C831" s="8">
        <v>46092</v>
      </c>
      <c r="D831" s="9">
        <v>34778</v>
      </c>
    </row>
    <row r="832" spans="1:4">
      <c r="A832" t="s">
        <v>9</v>
      </c>
      <c r="B832" t="s">
        <v>277</v>
      </c>
      <c r="C832" s="8">
        <v>46092</v>
      </c>
      <c r="D832" s="9">
        <v>31953</v>
      </c>
    </row>
    <row r="833" spans="1:4">
      <c r="A833" t="s">
        <v>5</v>
      </c>
      <c r="B833" t="s">
        <v>181</v>
      </c>
      <c r="C833" s="8">
        <v>46092</v>
      </c>
      <c r="D833" s="9">
        <v>37501</v>
      </c>
    </row>
    <row r="834" spans="1:4">
      <c r="A834" t="s">
        <v>5</v>
      </c>
      <c r="B834" t="s">
        <v>139</v>
      </c>
      <c r="C834" s="8">
        <v>46092</v>
      </c>
      <c r="D834" s="9">
        <v>59483</v>
      </c>
    </row>
    <row r="835" spans="1:4">
      <c r="A835" t="s">
        <v>4</v>
      </c>
      <c r="B835" t="s">
        <v>129</v>
      </c>
      <c r="C835" s="8">
        <v>46093</v>
      </c>
      <c r="D835" s="9">
        <v>35604</v>
      </c>
    </row>
    <row r="836" spans="1:4">
      <c r="A836" t="s">
        <v>4</v>
      </c>
      <c r="B836" t="s">
        <v>231</v>
      </c>
      <c r="C836" s="8">
        <v>46093</v>
      </c>
      <c r="D836" s="9">
        <v>36738</v>
      </c>
    </row>
    <row r="837" spans="1:4">
      <c r="A837" t="s">
        <v>4</v>
      </c>
      <c r="B837" t="s">
        <v>214</v>
      </c>
      <c r="C837" s="8">
        <v>46093</v>
      </c>
      <c r="D837" s="9">
        <v>47869</v>
      </c>
    </row>
    <row r="838" spans="1:4">
      <c r="A838" t="s">
        <v>8</v>
      </c>
      <c r="B838" t="s">
        <v>219</v>
      </c>
      <c r="C838" s="8">
        <v>46093</v>
      </c>
      <c r="D838" s="9">
        <v>15261</v>
      </c>
    </row>
    <row r="839" spans="1:4">
      <c r="A839" t="s">
        <v>6</v>
      </c>
      <c r="B839" t="s">
        <v>203</v>
      </c>
      <c r="C839" s="8">
        <v>46093</v>
      </c>
      <c r="D839" s="9">
        <v>23874</v>
      </c>
    </row>
    <row r="840" spans="1:4">
      <c r="A840" t="s">
        <v>29</v>
      </c>
      <c r="B840" t="s">
        <v>149</v>
      </c>
      <c r="C840" s="8">
        <v>46093</v>
      </c>
      <c r="D840" s="9">
        <v>6099</v>
      </c>
    </row>
    <row r="841" spans="1:4">
      <c r="A841" t="s">
        <v>9</v>
      </c>
      <c r="B841" t="s">
        <v>101</v>
      </c>
      <c r="C841" s="8">
        <v>46093</v>
      </c>
      <c r="D841" s="9">
        <v>26670</v>
      </c>
    </row>
    <row r="842" spans="1:4">
      <c r="A842" t="s">
        <v>9</v>
      </c>
      <c r="B842" t="s">
        <v>228</v>
      </c>
      <c r="C842" s="8">
        <v>46093</v>
      </c>
      <c r="D842" s="9">
        <v>36742</v>
      </c>
    </row>
    <row r="843" spans="1:4">
      <c r="A843" t="s">
        <v>9</v>
      </c>
      <c r="B843" t="s">
        <v>117</v>
      </c>
      <c r="C843" s="8">
        <v>46093</v>
      </c>
      <c r="D843" s="9">
        <v>33101</v>
      </c>
    </row>
    <row r="844" spans="1:4">
      <c r="A844" t="s">
        <v>5</v>
      </c>
      <c r="B844" t="s">
        <v>181</v>
      </c>
      <c r="C844" s="8">
        <v>46093</v>
      </c>
      <c r="D844" s="9">
        <v>37520</v>
      </c>
    </row>
    <row r="845" spans="1:4">
      <c r="A845" t="s">
        <v>5</v>
      </c>
      <c r="B845" t="s">
        <v>103</v>
      </c>
      <c r="C845" s="8">
        <v>46093</v>
      </c>
      <c r="D845" s="9">
        <v>37699</v>
      </c>
    </row>
    <row r="846" spans="1:4">
      <c r="A846" t="s">
        <v>5</v>
      </c>
      <c r="B846" t="s">
        <v>118</v>
      </c>
      <c r="C846" s="8">
        <v>46093</v>
      </c>
      <c r="D846" s="9">
        <v>35326</v>
      </c>
    </row>
    <row r="847" spans="1:4">
      <c r="A847" t="s">
        <v>27</v>
      </c>
      <c r="B847" t="s">
        <v>82</v>
      </c>
      <c r="C847" s="8">
        <v>46094</v>
      </c>
      <c r="D847" s="9">
        <v>16924</v>
      </c>
    </row>
    <row r="848" spans="1:4">
      <c r="A848" t="s">
        <v>4</v>
      </c>
      <c r="B848" t="s">
        <v>280</v>
      </c>
      <c r="C848" s="8">
        <v>46094</v>
      </c>
      <c r="D848" s="9">
        <v>41037</v>
      </c>
    </row>
    <row r="849" spans="1:4">
      <c r="A849" t="s">
        <v>34</v>
      </c>
      <c r="B849" t="s">
        <v>215</v>
      </c>
      <c r="C849" s="8">
        <v>46094</v>
      </c>
      <c r="D849" s="9">
        <v>21079</v>
      </c>
    </row>
    <row r="850" spans="1:4">
      <c r="A850" t="s">
        <v>29</v>
      </c>
      <c r="B850" t="s">
        <v>109</v>
      </c>
      <c r="C850" s="8">
        <v>46094</v>
      </c>
      <c r="D850" s="9">
        <v>31796</v>
      </c>
    </row>
    <row r="851" spans="1:4">
      <c r="A851" t="s">
        <v>7</v>
      </c>
      <c r="B851" t="s">
        <v>89</v>
      </c>
      <c r="C851" s="8">
        <v>46094</v>
      </c>
      <c r="D851" s="9">
        <v>28233</v>
      </c>
    </row>
    <row r="852" spans="1:4">
      <c r="A852" t="s">
        <v>7</v>
      </c>
      <c r="B852" t="s">
        <v>204</v>
      </c>
      <c r="C852" s="8">
        <v>46094</v>
      </c>
      <c r="D852" s="9">
        <v>25763</v>
      </c>
    </row>
    <row r="853" spans="1:4">
      <c r="A853" t="s">
        <v>9</v>
      </c>
      <c r="B853" t="s">
        <v>145</v>
      </c>
      <c r="C853" s="8">
        <v>46094</v>
      </c>
      <c r="D853" s="9">
        <v>25542</v>
      </c>
    </row>
    <row r="854" spans="1:4">
      <c r="A854" t="s">
        <v>9</v>
      </c>
      <c r="B854" t="s">
        <v>65</v>
      </c>
      <c r="C854" s="8">
        <v>46094</v>
      </c>
      <c r="D854" s="9">
        <v>35464</v>
      </c>
    </row>
    <row r="855" spans="1:4">
      <c r="A855" t="s">
        <v>9</v>
      </c>
      <c r="B855" t="s">
        <v>102</v>
      </c>
      <c r="C855" s="8">
        <v>46094</v>
      </c>
      <c r="D855" s="9">
        <v>41174</v>
      </c>
    </row>
    <row r="856" spans="1:4">
      <c r="A856" t="s">
        <v>5</v>
      </c>
      <c r="B856" t="s">
        <v>62</v>
      </c>
      <c r="C856" s="8">
        <v>46094</v>
      </c>
      <c r="D856" s="9">
        <v>48551</v>
      </c>
    </row>
    <row r="857" spans="1:4">
      <c r="A857" t="s">
        <v>5</v>
      </c>
      <c r="B857" t="s">
        <v>103</v>
      </c>
      <c r="C857" s="8">
        <v>46094</v>
      </c>
      <c r="D857" s="9">
        <v>30740</v>
      </c>
    </row>
    <row r="858" spans="1:4">
      <c r="A858" t="s">
        <v>5</v>
      </c>
      <c r="B858" t="s">
        <v>190</v>
      </c>
      <c r="C858" s="8">
        <v>46094</v>
      </c>
      <c r="D858" s="9">
        <v>28049</v>
      </c>
    </row>
    <row r="859" spans="1:4">
      <c r="A859" t="s">
        <v>5</v>
      </c>
      <c r="B859" t="s">
        <v>118</v>
      </c>
      <c r="C859" s="8">
        <v>46094</v>
      </c>
      <c r="D859" s="9">
        <v>36836</v>
      </c>
    </row>
    <row r="860" spans="1:4">
      <c r="A860" t="s">
        <v>4</v>
      </c>
      <c r="B860" t="s">
        <v>133</v>
      </c>
      <c r="C860" s="8">
        <v>46095</v>
      </c>
      <c r="D860" s="9">
        <v>32969</v>
      </c>
    </row>
    <row r="861" spans="1:4">
      <c r="A861" t="s">
        <v>4</v>
      </c>
      <c r="B861" t="s">
        <v>81</v>
      </c>
      <c r="C861" s="8">
        <v>46095</v>
      </c>
      <c r="D861" s="9">
        <v>31446</v>
      </c>
    </row>
    <row r="862" spans="1:4">
      <c r="A862" t="s">
        <v>28</v>
      </c>
      <c r="B862" t="s">
        <v>121</v>
      </c>
      <c r="C862" s="8">
        <v>46095</v>
      </c>
      <c r="D862" s="9">
        <v>11349</v>
      </c>
    </row>
    <row r="863" spans="1:4">
      <c r="A863" t="s">
        <v>6</v>
      </c>
      <c r="B863" t="s">
        <v>72</v>
      </c>
      <c r="C863" s="8">
        <v>46095</v>
      </c>
      <c r="D863" s="9">
        <v>20657</v>
      </c>
    </row>
    <row r="864" spans="1:4">
      <c r="A864" t="s">
        <v>6</v>
      </c>
      <c r="B864" t="s">
        <v>234</v>
      </c>
      <c r="C864" s="8">
        <v>46095</v>
      </c>
      <c r="D864" s="9">
        <v>22959</v>
      </c>
    </row>
    <row r="865" spans="1:4">
      <c r="A865" t="s">
        <v>7</v>
      </c>
      <c r="B865" t="s">
        <v>171</v>
      </c>
      <c r="C865" s="8">
        <v>46095</v>
      </c>
      <c r="D865" s="9">
        <v>27179</v>
      </c>
    </row>
    <row r="866" spans="1:4">
      <c r="A866" t="s">
        <v>9</v>
      </c>
      <c r="B866" t="s">
        <v>187</v>
      </c>
      <c r="C866" s="8">
        <v>46095</v>
      </c>
      <c r="D866" s="9">
        <v>27763</v>
      </c>
    </row>
    <row r="867" spans="1:4">
      <c r="A867" t="s">
        <v>9</v>
      </c>
      <c r="B867" t="s">
        <v>187</v>
      </c>
      <c r="C867" s="8">
        <v>46095</v>
      </c>
      <c r="D867" s="9">
        <v>25767</v>
      </c>
    </row>
    <row r="868" spans="1:4">
      <c r="A868" t="s">
        <v>9</v>
      </c>
      <c r="B868" t="s">
        <v>258</v>
      </c>
      <c r="C868" s="8">
        <v>46095</v>
      </c>
      <c r="D868" s="9">
        <v>29839</v>
      </c>
    </row>
    <row r="869" spans="1:4">
      <c r="A869" t="s">
        <v>9</v>
      </c>
      <c r="B869" t="s">
        <v>195</v>
      </c>
      <c r="C869" s="8">
        <v>46095</v>
      </c>
      <c r="D869" s="9">
        <v>32428</v>
      </c>
    </row>
    <row r="870" spans="1:4">
      <c r="A870" t="s">
        <v>5</v>
      </c>
      <c r="B870" t="s">
        <v>196</v>
      </c>
      <c r="C870" s="8">
        <v>46095</v>
      </c>
      <c r="D870" s="9">
        <v>52549</v>
      </c>
    </row>
    <row r="871" spans="1:4">
      <c r="A871" t="s">
        <v>5</v>
      </c>
      <c r="B871" t="s">
        <v>167</v>
      </c>
      <c r="C871" s="8">
        <v>46095</v>
      </c>
      <c r="D871" s="9">
        <v>40432</v>
      </c>
    </row>
    <row r="872" spans="1:4">
      <c r="A872" t="s">
        <v>5</v>
      </c>
      <c r="B872" t="s">
        <v>183</v>
      </c>
      <c r="C872" s="8">
        <v>46095</v>
      </c>
      <c r="D872" s="9">
        <v>37389</v>
      </c>
    </row>
    <row r="873" spans="1:4">
      <c r="A873" t="s">
        <v>5</v>
      </c>
      <c r="B873" t="s">
        <v>174</v>
      </c>
      <c r="C873" s="8">
        <v>46095</v>
      </c>
      <c r="D873" s="9">
        <v>33229</v>
      </c>
    </row>
    <row r="874" spans="1:4">
      <c r="A874" t="s">
        <v>5</v>
      </c>
      <c r="B874" t="s">
        <v>205</v>
      </c>
      <c r="C874" s="8">
        <v>46095</v>
      </c>
      <c r="D874" s="9">
        <v>31747</v>
      </c>
    </row>
    <row r="875" spans="1:4">
      <c r="A875" t="s">
        <v>4</v>
      </c>
      <c r="B875" t="s">
        <v>159</v>
      </c>
      <c r="C875" s="8">
        <v>46096</v>
      </c>
      <c r="D875" s="9">
        <v>54977</v>
      </c>
    </row>
    <row r="876" spans="1:4">
      <c r="A876" t="s">
        <v>25</v>
      </c>
      <c r="B876" t="s">
        <v>153</v>
      </c>
      <c r="C876" s="8">
        <v>46096</v>
      </c>
      <c r="D876" s="9">
        <v>12936</v>
      </c>
    </row>
    <row r="877" spans="1:4">
      <c r="A877" t="s">
        <v>8</v>
      </c>
      <c r="B877" t="s">
        <v>52</v>
      </c>
      <c r="C877" s="8">
        <v>46096</v>
      </c>
      <c r="D877" s="9">
        <v>22759</v>
      </c>
    </row>
    <row r="878" spans="1:4">
      <c r="A878" t="s">
        <v>8</v>
      </c>
      <c r="B878" t="s">
        <v>266</v>
      </c>
      <c r="C878" s="8">
        <v>46096</v>
      </c>
      <c r="D878" s="9">
        <v>17632</v>
      </c>
    </row>
    <row r="879" spans="1:4">
      <c r="A879" t="s">
        <v>6</v>
      </c>
      <c r="B879" t="s">
        <v>164</v>
      </c>
      <c r="C879" s="8">
        <v>46096</v>
      </c>
      <c r="D879" s="9">
        <v>18969</v>
      </c>
    </row>
    <row r="880" spans="1:4">
      <c r="A880" t="s">
        <v>9</v>
      </c>
      <c r="B880" t="s">
        <v>269</v>
      </c>
      <c r="C880" s="8">
        <v>46096</v>
      </c>
      <c r="D880" s="9">
        <v>23233</v>
      </c>
    </row>
    <row r="881" spans="1:4">
      <c r="A881" t="s">
        <v>9</v>
      </c>
      <c r="B881" t="s">
        <v>136</v>
      </c>
      <c r="C881" s="8">
        <v>46096</v>
      </c>
      <c r="D881" s="9">
        <v>27721</v>
      </c>
    </row>
    <row r="882" spans="1:4">
      <c r="A882" t="s">
        <v>9</v>
      </c>
      <c r="B882" t="s">
        <v>141</v>
      </c>
      <c r="C882" s="8">
        <v>46096</v>
      </c>
      <c r="D882" s="9">
        <v>35594</v>
      </c>
    </row>
    <row r="883" spans="1:4">
      <c r="A883" t="s">
        <v>5</v>
      </c>
      <c r="B883" t="s">
        <v>80</v>
      </c>
      <c r="C883" s="8">
        <v>46096</v>
      </c>
      <c r="D883" s="9">
        <v>51171</v>
      </c>
    </row>
    <row r="884" spans="1:4">
      <c r="A884" t="s">
        <v>5</v>
      </c>
      <c r="B884" t="s">
        <v>117</v>
      </c>
      <c r="C884" s="8">
        <v>46096</v>
      </c>
      <c r="D884" s="9">
        <v>46140</v>
      </c>
    </row>
    <row r="885" spans="1:4">
      <c r="A885" t="s">
        <v>5</v>
      </c>
      <c r="B885" t="s">
        <v>140</v>
      </c>
      <c r="C885" s="8">
        <v>46096</v>
      </c>
      <c r="D885" s="9">
        <v>41332</v>
      </c>
    </row>
    <row r="886" spans="1:4">
      <c r="A886" t="s">
        <v>4</v>
      </c>
      <c r="B886" t="s">
        <v>147</v>
      </c>
      <c r="C886" s="8">
        <v>46097</v>
      </c>
      <c r="D886" s="9">
        <v>28926</v>
      </c>
    </row>
    <row r="887" spans="1:4">
      <c r="A887" t="s">
        <v>31</v>
      </c>
      <c r="B887" t="s">
        <v>106</v>
      </c>
      <c r="C887" s="8">
        <v>46097</v>
      </c>
      <c r="D887" s="9">
        <v>13108</v>
      </c>
    </row>
    <row r="888" spans="1:4">
      <c r="A888" t="s">
        <v>25</v>
      </c>
      <c r="B888" t="s">
        <v>169</v>
      </c>
      <c r="C888" s="8">
        <v>46097</v>
      </c>
      <c r="D888" s="9">
        <v>37253</v>
      </c>
    </row>
    <row r="889" spans="1:4">
      <c r="A889" t="s">
        <v>32</v>
      </c>
      <c r="B889" t="s">
        <v>87</v>
      </c>
      <c r="C889" s="8">
        <v>46097</v>
      </c>
      <c r="D889" s="9">
        <v>14139</v>
      </c>
    </row>
    <row r="890" spans="1:4">
      <c r="A890" t="s">
        <v>29</v>
      </c>
      <c r="B890" t="s">
        <v>59</v>
      </c>
      <c r="C890" s="8">
        <v>46097</v>
      </c>
      <c r="D890" s="9">
        <v>16217</v>
      </c>
    </row>
    <row r="891" spans="1:4">
      <c r="A891" t="s">
        <v>29</v>
      </c>
      <c r="B891" t="s">
        <v>218</v>
      </c>
      <c r="C891" s="8">
        <v>46097</v>
      </c>
      <c r="D891" s="9">
        <v>15420</v>
      </c>
    </row>
    <row r="892" spans="1:4">
      <c r="A892" t="s">
        <v>7</v>
      </c>
      <c r="B892" t="s">
        <v>90</v>
      </c>
      <c r="C892" s="8">
        <v>46097</v>
      </c>
      <c r="D892" s="9">
        <v>34110</v>
      </c>
    </row>
    <row r="893" spans="1:4">
      <c r="A893" t="s">
        <v>9</v>
      </c>
      <c r="B893" t="s">
        <v>65</v>
      </c>
      <c r="C893" s="8">
        <v>46097</v>
      </c>
      <c r="D893" s="9">
        <v>44880</v>
      </c>
    </row>
    <row r="894" spans="1:4">
      <c r="A894" t="s">
        <v>9</v>
      </c>
      <c r="B894" t="s">
        <v>166</v>
      </c>
      <c r="C894" s="8">
        <v>46097</v>
      </c>
      <c r="D894" s="9">
        <v>36993</v>
      </c>
    </row>
    <row r="895" spans="1:4">
      <c r="A895" t="s">
        <v>5</v>
      </c>
      <c r="B895" t="s">
        <v>206</v>
      </c>
      <c r="C895" s="8">
        <v>46097</v>
      </c>
      <c r="D895" s="9">
        <v>47219</v>
      </c>
    </row>
    <row r="896" spans="1:4">
      <c r="A896" t="s">
        <v>5</v>
      </c>
      <c r="B896" t="s">
        <v>81</v>
      </c>
      <c r="C896" s="8">
        <v>46097</v>
      </c>
      <c r="D896" s="9">
        <v>43672</v>
      </c>
    </row>
    <row r="897" spans="1:4">
      <c r="A897" t="s">
        <v>4</v>
      </c>
      <c r="B897" t="s">
        <v>227</v>
      </c>
      <c r="C897" s="8">
        <v>46098</v>
      </c>
      <c r="D897" s="9">
        <v>31696</v>
      </c>
    </row>
    <row r="898" spans="1:4">
      <c r="A898" t="s">
        <v>31</v>
      </c>
      <c r="B898" t="s">
        <v>207</v>
      </c>
      <c r="C898" s="8">
        <v>46098</v>
      </c>
      <c r="D898" s="9">
        <v>14704</v>
      </c>
    </row>
    <row r="899" spans="1:4">
      <c r="A899" t="s">
        <v>26</v>
      </c>
      <c r="B899" t="s">
        <v>97</v>
      </c>
      <c r="C899" s="8">
        <v>46098</v>
      </c>
      <c r="D899" s="9">
        <v>19124</v>
      </c>
    </row>
    <row r="900" spans="1:4">
      <c r="A900" t="s">
        <v>6</v>
      </c>
      <c r="B900" t="s">
        <v>262</v>
      </c>
      <c r="C900" s="8">
        <v>46098</v>
      </c>
      <c r="D900" s="9">
        <v>7478</v>
      </c>
    </row>
    <row r="901" spans="1:4">
      <c r="A901" t="s">
        <v>7</v>
      </c>
      <c r="B901" t="s">
        <v>113</v>
      </c>
      <c r="C901" s="8">
        <v>46098</v>
      </c>
      <c r="D901" s="9">
        <v>37557</v>
      </c>
    </row>
    <row r="902" spans="1:4">
      <c r="A902" t="s">
        <v>7</v>
      </c>
      <c r="B902" t="s">
        <v>70</v>
      </c>
      <c r="C902" s="8">
        <v>46098</v>
      </c>
      <c r="D902" s="9">
        <v>29233</v>
      </c>
    </row>
    <row r="903" spans="1:4">
      <c r="A903" t="s">
        <v>9</v>
      </c>
      <c r="B903" t="s">
        <v>129</v>
      </c>
      <c r="C903" s="8">
        <v>46098</v>
      </c>
      <c r="D903" s="9">
        <v>34726</v>
      </c>
    </row>
    <row r="904" spans="1:4">
      <c r="A904" t="s">
        <v>9</v>
      </c>
      <c r="B904" t="s">
        <v>227</v>
      </c>
      <c r="C904" s="8">
        <v>46098</v>
      </c>
      <c r="D904" s="9">
        <v>31248</v>
      </c>
    </row>
    <row r="905" spans="1:4">
      <c r="A905" t="s">
        <v>9</v>
      </c>
      <c r="B905" t="s">
        <v>172</v>
      </c>
      <c r="C905" s="8">
        <v>46098</v>
      </c>
      <c r="D905" s="9">
        <v>37255</v>
      </c>
    </row>
    <row r="906" spans="1:4">
      <c r="A906" t="s">
        <v>9</v>
      </c>
      <c r="B906" t="s">
        <v>48</v>
      </c>
      <c r="C906" s="8">
        <v>46098</v>
      </c>
      <c r="D906" s="9">
        <v>36387</v>
      </c>
    </row>
    <row r="907" spans="1:4">
      <c r="A907" t="s">
        <v>9</v>
      </c>
      <c r="B907" t="s">
        <v>137</v>
      </c>
      <c r="C907" s="8">
        <v>46098</v>
      </c>
      <c r="D907" s="9">
        <v>25895</v>
      </c>
    </row>
    <row r="908" spans="1:4">
      <c r="A908" t="s">
        <v>5</v>
      </c>
      <c r="B908" t="s">
        <v>221</v>
      </c>
      <c r="C908" s="8">
        <v>46098</v>
      </c>
      <c r="D908" s="9">
        <v>53934</v>
      </c>
    </row>
    <row r="909" spans="1:4">
      <c r="A909" t="s">
        <v>5</v>
      </c>
      <c r="B909" t="s">
        <v>209</v>
      </c>
      <c r="C909" s="8">
        <v>46098</v>
      </c>
      <c r="D909" s="9">
        <v>49614</v>
      </c>
    </row>
    <row r="910" spans="1:4">
      <c r="A910" t="s">
        <v>5</v>
      </c>
      <c r="B910" t="s">
        <v>81</v>
      </c>
      <c r="C910" s="8">
        <v>46098</v>
      </c>
      <c r="D910" s="9">
        <v>47629</v>
      </c>
    </row>
    <row r="911" spans="1:4">
      <c r="A911" t="s">
        <v>5</v>
      </c>
      <c r="B911" t="s">
        <v>196</v>
      </c>
      <c r="C911" s="8">
        <v>46098</v>
      </c>
      <c r="D911" s="9">
        <v>35734</v>
      </c>
    </row>
    <row r="912" spans="1:4">
      <c r="A912" t="s">
        <v>5</v>
      </c>
      <c r="B912" t="s">
        <v>95</v>
      </c>
      <c r="C912" s="8">
        <v>46098</v>
      </c>
      <c r="D912" s="9">
        <v>34878</v>
      </c>
    </row>
    <row r="913" spans="1:4">
      <c r="A913" t="s">
        <v>5</v>
      </c>
      <c r="B913" t="s">
        <v>105</v>
      </c>
      <c r="C913" s="8">
        <v>46098</v>
      </c>
      <c r="D913" s="9">
        <v>46738</v>
      </c>
    </row>
    <row r="914" spans="1:4">
      <c r="A914" t="s">
        <v>4</v>
      </c>
      <c r="B914" t="s">
        <v>84</v>
      </c>
      <c r="C914" s="8">
        <v>46099</v>
      </c>
      <c r="D914" s="9">
        <v>16498</v>
      </c>
    </row>
    <row r="915" spans="1:4">
      <c r="A915" t="s">
        <v>25</v>
      </c>
      <c r="B915" t="s">
        <v>261</v>
      </c>
      <c r="C915" s="8">
        <v>46099</v>
      </c>
      <c r="D915" s="9">
        <v>16800</v>
      </c>
    </row>
    <row r="916" spans="1:4">
      <c r="A916" t="s">
        <v>25</v>
      </c>
      <c r="B916" t="s">
        <v>120</v>
      </c>
      <c r="C916" s="8">
        <v>46099</v>
      </c>
      <c r="D916" s="9">
        <v>16267</v>
      </c>
    </row>
    <row r="917" spans="1:4">
      <c r="A917" t="s">
        <v>29</v>
      </c>
      <c r="B917" t="s">
        <v>64</v>
      </c>
      <c r="C917" s="8">
        <v>46099</v>
      </c>
      <c r="D917" s="9">
        <v>13021</v>
      </c>
    </row>
    <row r="918" spans="1:4">
      <c r="A918" t="s">
        <v>29</v>
      </c>
      <c r="B918" t="s">
        <v>226</v>
      </c>
      <c r="C918" s="8">
        <v>46099</v>
      </c>
      <c r="D918" s="9">
        <v>17438</v>
      </c>
    </row>
    <row r="919" spans="1:4">
      <c r="A919" t="s">
        <v>7</v>
      </c>
      <c r="B919" t="s">
        <v>100</v>
      </c>
      <c r="C919" s="8">
        <v>46099</v>
      </c>
      <c r="D919" s="9">
        <v>29030</v>
      </c>
    </row>
    <row r="920" spans="1:4">
      <c r="A920" t="s">
        <v>7</v>
      </c>
      <c r="B920" t="s">
        <v>236</v>
      </c>
      <c r="C920" s="8">
        <v>46099</v>
      </c>
      <c r="D920" s="9">
        <v>8456</v>
      </c>
    </row>
    <row r="921" spans="1:4">
      <c r="A921" t="s">
        <v>9</v>
      </c>
      <c r="B921" t="s">
        <v>178</v>
      </c>
      <c r="C921" s="8">
        <v>46099</v>
      </c>
      <c r="D921" s="9">
        <v>30853</v>
      </c>
    </row>
    <row r="922" spans="1:4">
      <c r="A922" t="s">
        <v>9</v>
      </c>
      <c r="B922" t="s">
        <v>130</v>
      </c>
      <c r="C922" s="8">
        <v>46099</v>
      </c>
      <c r="D922" s="9">
        <v>56759</v>
      </c>
    </row>
    <row r="923" spans="1:4">
      <c r="A923" t="s">
        <v>5</v>
      </c>
      <c r="B923" t="s">
        <v>115</v>
      </c>
      <c r="C923" s="8">
        <v>46099</v>
      </c>
      <c r="D923" s="9">
        <v>35568</v>
      </c>
    </row>
    <row r="924" spans="1:4">
      <c r="A924" t="s">
        <v>27</v>
      </c>
      <c r="B924" t="s">
        <v>259</v>
      </c>
      <c r="C924" s="8">
        <v>46100</v>
      </c>
      <c r="D924" s="9">
        <v>14873</v>
      </c>
    </row>
    <row r="925" spans="1:4">
      <c r="A925" t="s">
        <v>4</v>
      </c>
      <c r="B925" t="s">
        <v>192</v>
      </c>
      <c r="C925" s="8">
        <v>46100</v>
      </c>
      <c r="D925" s="9">
        <v>8180</v>
      </c>
    </row>
    <row r="926" spans="1:4">
      <c r="A926" t="s">
        <v>4</v>
      </c>
      <c r="B926" t="s">
        <v>279</v>
      </c>
      <c r="C926" s="8">
        <v>46100</v>
      </c>
      <c r="D926" s="9">
        <v>47253</v>
      </c>
    </row>
    <row r="927" spans="1:4">
      <c r="A927" t="s">
        <v>4</v>
      </c>
      <c r="B927" t="s">
        <v>198</v>
      </c>
      <c r="C927" s="8">
        <v>46100</v>
      </c>
      <c r="D927" s="9">
        <v>23837</v>
      </c>
    </row>
    <row r="928" spans="1:4">
      <c r="A928" t="s">
        <v>25</v>
      </c>
      <c r="B928" t="s">
        <v>63</v>
      </c>
      <c r="C928" s="8">
        <v>46100</v>
      </c>
      <c r="D928" s="9">
        <v>17426</v>
      </c>
    </row>
    <row r="929" spans="1:4">
      <c r="A929" t="s">
        <v>8</v>
      </c>
      <c r="B929" t="s">
        <v>200</v>
      </c>
      <c r="C929" s="8">
        <v>46100</v>
      </c>
      <c r="D929" s="9">
        <v>30536</v>
      </c>
    </row>
    <row r="930" spans="1:4">
      <c r="A930" t="s">
        <v>9</v>
      </c>
      <c r="B930" t="s">
        <v>249</v>
      </c>
      <c r="C930" s="8">
        <v>46100</v>
      </c>
      <c r="D930" s="9">
        <v>29530</v>
      </c>
    </row>
    <row r="931" spans="1:4">
      <c r="A931" t="s">
        <v>9</v>
      </c>
      <c r="B931" t="s">
        <v>78</v>
      </c>
      <c r="C931" s="8">
        <v>46100</v>
      </c>
      <c r="D931" s="9">
        <v>37521</v>
      </c>
    </row>
    <row r="932" spans="1:4">
      <c r="A932" t="s">
        <v>9</v>
      </c>
      <c r="B932" t="s">
        <v>137</v>
      </c>
      <c r="C932" s="8">
        <v>46100</v>
      </c>
      <c r="D932" s="9">
        <v>32427</v>
      </c>
    </row>
    <row r="933" spans="1:4">
      <c r="A933" t="s">
        <v>5</v>
      </c>
      <c r="B933" t="s">
        <v>110</v>
      </c>
      <c r="C933" s="8">
        <v>46100</v>
      </c>
      <c r="D933" s="9">
        <v>37371</v>
      </c>
    </row>
    <row r="934" spans="1:4">
      <c r="A934" t="s">
        <v>5</v>
      </c>
      <c r="B934" t="s">
        <v>110</v>
      </c>
      <c r="C934" s="8">
        <v>46100</v>
      </c>
      <c r="D934" s="9">
        <v>35187</v>
      </c>
    </row>
    <row r="935" spans="1:4">
      <c r="A935" t="s">
        <v>5</v>
      </c>
      <c r="B935" t="s">
        <v>190</v>
      </c>
      <c r="C935" s="8">
        <v>46100</v>
      </c>
      <c r="D935" s="9">
        <v>31028</v>
      </c>
    </row>
    <row r="936" spans="1:4">
      <c r="A936" t="s">
        <v>5</v>
      </c>
      <c r="B936" t="s">
        <v>140</v>
      </c>
      <c r="C936" s="8">
        <v>46100</v>
      </c>
      <c r="D936" s="9">
        <v>28425</v>
      </c>
    </row>
    <row r="937" spans="1:4">
      <c r="A937" t="s">
        <v>5</v>
      </c>
      <c r="B937" t="s">
        <v>174</v>
      </c>
      <c r="C937" s="8">
        <v>46100</v>
      </c>
      <c r="D937" s="9">
        <v>35236</v>
      </c>
    </row>
    <row r="938" spans="1:4">
      <c r="A938" t="s">
        <v>4</v>
      </c>
      <c r="B938" t="s">
        <v>229</v>
      </c>
      <c r="C938" s="8">
        <v>46101</v>
      </c>
      <c r="D938" s="9">
        <v>40158</v>
      </c>
    </row>
    <row r="939" spans="1:4">
      <c r="A939" t="s">
        <v>4</v>
      </c>
      <c r="B939" t="s">
        <v>85</v>
      </c>
      <c r="C939" s="8">
        <v>46101</v>
      </c>
      <c r="D939" s="9">
        <v>32962</v>
      </c>
    </row>
    <row r="940" spans="1:4">
      <c r="A940" t="s">
        <v>8</v>
      </c>
      <c r="B940" t="s">
        <v>148</v>
      </c>
      <c r="C940" s="8">
        <v>46101</v>
      </c>
      <c r="D940" s="9">
        <v>19049</v>
      </c>
    </row>
    <row r="941" spans="1:4">
      <c r="A941" t="s">
        <v>7</v>
      </c>
      <c r="B941" t="s">
        <v>75</v>
      </c>
      <c r="C941" s="8">
        <v>46101</v>
      </c>
      <c r="D941" s="9">
        <v>18795</v>
      </c>
    </row>
    <row r="942" spans="1:4">
      <c r="A942" t="s">
        <v>7</v>
      </c>
      <c r="B942" t="s">
        <v>131</v>
      </c>
      <c r="C942" s="8">
        <v>46101</v>
      </c>
      <c r="D942" s="9">
        <v>30819</v>
      </c>
    </row>
    <row r="943" spans="1:4">
      <c r="A943" t="s">
        <v>9</v>
      </c>
      <c r="B943" t="s">
        <v>91</v>
      </c>
      <c r="C943" s="8">
        <v>46101</v>
      </c>
      <c r="D943" s="9">
        <v>36326</v>
      </c>
    </row>
    <row r="944" spans="1:4">
      <c r="A944" t="s">
        <v>9</v>
      </c>
      <c r="B944" t="s">
        <v>48</v>
      </c>
      <c r="C944" s="8">
        <v>46101</v>
      </c>
      <c r="D944" s="9">
        <v>40058</v>
      </c>
    </row>
    <row r="945" spans="1:4">
      <c r="A945" t="s">
        <v>5</v>
      </c>
      <c r="B945" t="s">
        <v>132</v>
      </c>
      <c r="C945" s="8">
        <v>46101</v>
      </c>
      <c r="D945" s="9">
        <v>28328</v>
      </c>
    </row>
    <row r="946" spans="1:4">
      <c r="A946" t="s">
        <v>5</v>
      </c>
      <c r="B946" t="s">
        <v>103</v>
      </c>
      <c r="C946" s="8">
        <v>46101</v>
      </c>
      <c r="D946" s="9">
        <v>47880</v>
      </c>
    </row>
    <row r="947" spans="1:4">
      <c r="A947" t="s">
        <v>5</v>
      </c>
      <c r="B947" t="s">
        <v>196</v>
      </c>
      <c r="C947" s="8">
        <v>46101</v>
      </c>
      <c r="D947" s="9">
        <v>35645</v>
      </c>
    </row>
    <row r="948" spans="1:4">
      <c r="A948" t="s">
        <v>5</v>
      </c>
      <c r="B948" t="s">
        <v>190</v>
      </c>
      <c r="C948" s="8">
        <v>46101</v>
      </c>
      <c r="D948" s="9">
        <v>25761</v>
      </c>
    </row>
    <row r="949" spans="1:4">
      <c r="A949" t="s">
        <v>4</v>
      </c>
      <c r="B949" t="s">
        <v>184</v>
      </c>
      <c r="C949" s="8">
        <v>46102</v>
      </c>
      <c r="D949" s="9">
        <v>45241</v>
      </c>
    </row>
    <row r="950" spans="1:4">
      <c r="A950" t="s">
        <v>4</v>
      </c>
      <c r="B950" t="s">
        <v>116</v>
      </c>
      <c r="C950" s="8">
        <v>46102</v>
      </c>
      <c r="D950" s="9">
        <v>28816</v>
      </c>
    </row>
    <row r="951" spans="1:4">
      <c r="A951" t="s">
        <v>4</v>
      </c>
      <c r="B951" t="s">
        <v>244</v>
      </c>
      <c r="C951" s="8">
        <v>46102</v>
      </c>
      <c r="D951" s="9">
        <v>26792</v>
      </c>
    </row>
    <row r="952" spans="1:4">
      <c r="A952" t="s">
        <v>28</v>
      </c>
      <c r="B952" t="s">
        <v>254</v>
      </c>
      <c r="C952" s="8">
        <v>46102</v>
      </c>
      <c r="D952" s="9">
        <v>15176</v>
      </c>
    </row>
    <row r="953" spans="1:4">
      <c r="A953" t="s">
        <v>8</v>
      </c>
      <c r="B953" t="s">
        <v>122</v>
      </c>
      <c r="C953" s="8">
        <v>46102</v>
      </c>
      <c r="D953" s="9">
        <v>21494</v>
      </c>
    </row>
    <row r="954" spans="1:4">
      <c r="A954" t="s">
        <v>8</v>
      </c>
      <c r="B954" t="s">
        <v>246</v>
      </c>
      <c r="C954" s="8">
        <v>46102</v>
      </c>
      <c r="D954" s="9">
        <v>17991</v>
      </c>
    </row>
    <row r="955" spans="1:4">
      <c r="A955" t="s">
        <v>29</v>
      </c>
      <c r="B955" t="s">
        <v>274</v>
      </c>
      <c r="C955" s="8">
        <v>46102</v>
      </c>
      <c r="D955" s="9">
        <v>5542</v>
      </c>
    </row>
    <row r="956" spans="1:4">
      <c r="A956" t="s">
        <v>7</v>
      </c>
      <c r="B956" t="s">
        <v>267</v>
      </c>
      <c r="C956" s="8">
        <v>46102</v>
      </c>
      <c r="D956" s="9">
        <v>26805</v>
      </c>
    </row>
    <row r="957" spans="1:4">
      <c r="A957" t="s">
        <v>9</v>
      </c>
      <c r="B957" t="s">
        <v>50</v>
      </c>
      <c r="C957" s="8">
        <v>46102</v>
      </c>
      <c r="D957" s="9">
        <v>32592</v>
      </c>
    </row>
    <row r="958" spans="1:4">
      <c r="A958" t="s">
        <v>9</v>
      </c>
      <c r="B958" t="s">
        <v>258</v>
      </c>
      <c r="C958" s="8">
        <v>46102</v>
      </c>
      <c r="D958" s="9">
        <v>32324</v>
      </c>
    </row>
    <row r="959" spans="1:4">
      <c r="A959" t="s">
        <v>9</v>
      </c>
      <c r="B959" t="s">
        <v>57</v>
      </c>
      <c r="C959" s="8">
        <v>46102</v>
      </c>
      <c r="D959" s="9">
        <v>29465</v>
      </c>
    </row>
    <row r="960" spans="1:4">
      <c r="A960" t="s">
        <v>5</v>
      </c>
      <c r="B960" t="s">
        <v>182</v>
      </c>
      <c r="C960" s="8">
        <v>46102</v>
      </c>
      <c r="D960" s="9">
        <v>42844</v>
      </c>
    </row>
    <row r="961" spans="1:4">
      <c r="A961" t="s">
        <v>5</v>
      </c>
      <c r="B961" t="s">
        <v>196</v>
      </c>
      <c r="C961" s="8">
        <v>46102</v>
      </c>
      <c r="D961" s="9">
        <v>39618</v>
      </c>
    </row>
    <row r="962" spans="1:4">
      <c r="A962" t="s">
        <v>27</v>
      </c>
      <c r="B962" t="s">
        <v>68</v>
      </c>
      <c r="C962" s="8">
        <v>46103</v>
      </c>
      <c r="D962" s="9">
        <v>15196</v>
      </c>
    </row>
    <row r="963" spans="1:4">
      <c r="A963" t="s">
        <v>4</v>
      </c>
      <c r="B963" t="s">
        <v>158</v>
      </c>
      <c r="C963" s="8">
        <v>46103</v>
      </c>
      <c r="D963" s="9">
        <v>39926</v>
      </c>
    </row>
    <row r="964" spans="1:4">
      <c r="A964" t="s">
        <v>4</v>
      </c>
      <c r="B964" t="s">
        <v>230</v>
      </c>
      <c r="C964" s="8">
        <v>46103</v>
      </c>
      <c r="D964" s="9">
        <v>27551</v>
      </c>
    </row>
    <row r="965" spans="1:4">
      <c r="A965" t="s">
        <v>6</v>
      </c>
      <c r="B965" t="s">
        <v>112</v>
      </c>
      <c r="C965" s="8">
        <v>46103</v>
      </c>
      <c r="D965" s="9">
        <v>19833</v>
      </c>
    </row>
    <row r="966" spans="1:4">
      <c r="A966" t="s">
        <v>7</v>
      </c>
      <c r="B966" t="s">
        <v>54</v>
      </c>
      <c r="C966" s="8">
        <v>46103</v>
      </c>
      <c r="D966" s="9">
        <v>32755</v>
      </c>
    </row>
    <row r="967" spans="1:4">
      <c r="A967" t="s">
        <v>7</v>
      </c>
      <c r="B967" t="s">
        <v>90</v>
      </c>
      <c r="C967" s="8">
        <v>46103</v>
      </c>
      <c r="D967" s="9">
        <v>37040</v>
      </c>
    </row>
    <row r="968" spans="1:4">
      <c r="A968" t="s">
        <v>9</v>
      </c>
      <c r="B968" t="s">
        <v>264</v>
      </c>
      <c r="C968" s="8">
        <v>46103</v>
      </c>
      <c r="D968" s="9">
        <v>29441</v>
      </c>
    </row>
    <row r="969" spans="1:4">
      <c r="A969" t="s">
        <v>9</v>
      </c>
      <c r="B969" t="s">
        <v>92</v>
      </c>
      <c r="C969" s="8">
        <v>46103</v>
      </c>
      <c r="D969" s="9">
        <v>41803</v>
      </c>
    </row>
    <row r="970" spans="1:4">
      <c r="A970" t="s">
        <v>9</v>
      </c>
      <c r="B970" t="s">
        <v>166</v>
      </c>
      <c r="C970" s="8">
        <v>46103</v>
      </c>
      <c r="D970" s="9">
        <v>30574</v>
      </c>
    </row>
    <row r="971" spans="1:4">
      <c r="A971" t="s">
        <v>5</v>
      </c>
      <c r="B971" t="s">
        <v>184</v>
      </c>
      <c r="C971" s="8">
        <v>46103</v>
      </c>
      <c r="D971" s="9">
        <v>34423</v>
      </c>
    </row>
    <row r="972" spans="1:4">
      <c r="A972" t="s">
        <v>4</v>
      </c>
      <c r="B972" t="s">
        <v>53</v>
      </c>
      <c r="C972" s="8">
        <v>46104</v>
      </c>
      <c r="D972" s="9">
        <v>45858</v>
      </c>
    </row>
    <row r="973" spans="1:4">
      <c r="A973" t="s">
        <v>33</v>
      </c>
      <c r="B973" t="s">
        <v>134</v>
      </c>
      <c r="C973" s="8">
        <v>46104</v>
      </c>
      <c r="D973" s="9">
        <v>14657</v>
      </c>
    </row>
    <row r="974" spans="1:4">
      <c r="A974" t="s">
        <v>7</v>
      </c>
      <c r="B974" t="s">
        <v>276</v>
      </c>
      <c r="C974" s="8">
        <v>46104</v>
      </c>
      <c r="D974" s="9">
        <v>39071</v>
      </c>
    </row>
    <row r="975" spans="1:4">
      <c r="A975" t="s">
        <v>9</v>
      </c>
      <c r="B975" t="s">
        <v>65</v>
      </c>
      <c r="C975" s="8">
        <v>46104</v>
      </c>
      <c r="D975" s="9">
        <v>33363</v>
      </c>
    </row>
    <row r="976" spans="1:4">
      <c r="A976" t="s">
        <v>9</v>
      </c>
      <c r="B976" t="s">
        <v>51</v>
      </c>
      <c r="C976" s="8">
        <v>46104</v>
      </c>
      <c r="D976" s="9">
        <v>46479</v>
      </c>
    </row>
    <row r="977" spans="1:4">
      <c r="A977" t="s">
        <v>5</v>
      </c>
      <c r="B977" t="s">
        <v>93</v>
      </c>
      <c r="C977" s="8">
        <v>46104</v>
      </c>
      <c r="D977" s="9">
        <v>46734</v>
      </c>
    </row>
    <row r="978" spans="1:4">
      <c r="A978" t="s">
        <v>5</v>
      </c>
      <c r="B978" t="s">
        <v>242</v>
      </c>
      <c r="C978" s="8">
        <v>46104</v>
      </c>
      <c r="D978" s="9">
        <v>36057</v>
      </c>
    </row>
    <row r="979" spans="1:4">
      <c r="A979" t="s">
        <v>5</v>
      </c>
      <c r="B979" t="s">
        <v>202</v>
      </c>
      <c r="C979" s="8">
        <v>46104</v>
      </c>
      <c r="D979" s="9">
        <v>32479</v>
      </c>
    </row>
    <row r="980" spans="1:4">
      <c r="A980" t="s">
        <v>4</v>
      </c>
      <c r="B980" t="s">
        <v>283</v>
      </c>
      <c r="C980" s="8">
        <v>46105</v>
      </c>
      <c r="D980" s="9">
        <v>12968</v>
      </c>
    </row>
    <row r="981" spans="1:4">
      <c r="A981" t="s">
        <v>4</v>
      </c>
      <c r="B981" t="s">
        <v>213</v>
      </c>
      <c r="C981" s="8">
        <v>46105</v>
      </c>
      <c r="D981" s="9">
        <v>40667</v>
      </c>
    </row>
    <row r="982" spans="1:4">
      <c r="A982" t="s">
        <v>36</v>
      </c>
      <c r="B982" t="s">
        <v>155</v>
      </c>
      <c r="C982" s="8">
        <v>46105</v>
      </c>
      <c r="D982" s="9">
        <v>15472</v>
      </c>
    </row>
    <row r="983" spans="1:4">
      <c r="A983" t="s">
        <v>9</v>
      </c>
      <c r="B983" t="s">
        <v>78</v>
      </c>
      <c r="C983" s="8">
        <v>46105</v>
      </c>
      <c r="D983" s="9">
        <v>40084</v>
      </c>
    </row>
    <row r="984" spans="1:4">
      <c r="A984" t="s">
        <v>5</v>
      </c>
      <c r="B984" t="s">
        <v>242</v>
      </c>
      <c r="C984" s="8">
        <v>46105</v>
      </c>
      <c r="D984" s="9">
        <v>41966</v>
      </c>
    </row>
    <row r="985" spans="1:4">
      <c r="A985" t="s">
        <v>4</v>
      </c>
      <c r="B985" t="s">
        <v>189</v>
      </c>
      <c r="C985" s="8">
        <v>46106</v>
      </c>
      <c r="D985" s="9">
        <v>19405</v>
      </c>
    </row>
    <row r="986" spans="1:4">
      <c r="A986" t="s">
        <v>25</v>
      </c>
      <c r="B986" t="s">
        <v>126</v>
      </c>
      <c r="C986" s="8">
        <v>46106</v>
      </c>
      <c r="D986" s="9">
        <v>18309</v>
      </c>
    </row>
    <row r="987" spans="1:4">
      <c r="A987" t="s">
        <v>25</v>
      </c>
      <c r="B987" t="s">
        <v>66</v>
      </c>
      <c r="C987" s="8">
        <v>46106</v>
      </c>
      <c r="D987" s="9">
        <v>18059</v>
      </c>
    </row>
    <row r="988" spans="1:4">
      <c r="A988" t="s">
        <v>26</v>
      </c>
      <c r="B988" t="s">
        <v>245</v>
      </c>
      <c r="C988" s="8">
        <v>46106</v>
      </c>
      <c r="D988" s="9">
        <v>18989</v>
      </c>
    </row>
    <row r="989" spans="1:4">
      <c r="A989" t="s">
        <v>6</v>
      </c>
      <c r="B989" t="s">
        <v>200</v>
      </c>
      <c r="C989" s="8">
        <v>46106</v>
      </c>
      <c r="D989" s="9">
        <v>20516</v>
      </c>
    </row>
    <row r="990" spans="1:4">
      <c r="A990" t="s">
        <v>7</v>
      </c>
      <c r="B990" t="s">
        <v>135</v>
      </c>
      <c r="C990" s="8">
        <v>46106</v>
      </c>
      <c r="D990" s="9">
        <v>37431</v>
      </c>
    </row>
    <row r="991" spans="1:4">
      <c r="A991" t="s">
        <v>9</v>
      </c>
      <c r="B991" t="s">
        <v>264</v>
      </c>
      <c r="C991" s="8">
        <v>46106</v>
      </c>
      <c r="D991" s="9">
        <v>39395</v>
      </c>
    </row>
    <row r="992" spans="1:4">
      <c r="A992" t="s">
        <v>9</v>
      </c>
      <c r="B992" t="s">
        <v>196</v>
      </c>
      <c r="C992" s="8">
        <v>46106</v>
      </c>
      <c r="D992" s="9">
        <v>40696</v>
      </c>
    </row>
    <row r="993" spans="1:4">
      <c r="A993" t="s">
        <v>5</v>
      </c>
      <c r="B993" t="s">
        <v>80</v>
      </c>
      <c r="C993" s="8">
        <v>46106</v>
      </c>
      <c r="D993" s="9">
        <v>36527</v>
      </c>
    </row>
    <row r="994" spans="1:4">
      <c r="A994" t="s">
        <v>5</v>
      </c>
      <c r="B994" t="s">
        <v>242</v>
      </c>
      <c r="C994" s="8">
        <v>46106</v>
      </c>
      <c r="D994" s="9">
        <v>33654</v>
      </c>
    </row>
    <row r="995" spans="1:4">
      <c r="A995" t="s">
        <v>5</v>
      </c>
      <c r="B995" t="s">
        <v>60</v>
      </c>
      <c r="C995" s="8">
        <v>46106</v>
      </c>
      <c r="D995" s="9">
        <v>44872</v>
      </c>
    </row>
    <row r="996" spans="1:4">
      <c r="A996" t="s">
        <v>4</v>
      </c>
      <c r="B996" t="s">
        <v>133</v>
      </c>
      <c r="C996" s="8">
        <v>46107</v>
      </c>
      <c r="D996" s="9">
        <v>40880</v>
      </c>
    </row>
    <row r="997" spans="1:4">
      <c r="A997" t="s">
        <v>4</v>
      </c>
      <c r="B997" t="s">
        <v>244</v>
      </c>
      <c r="C997" s="8">
        <v>46107</v>
      </c>
      <c r="D997" s="9">
        <v>30051</v>
      </c>
    </row>
    <row r="998" spans="1:4">
      <c r="A998" t="s">
        <v>25</v>
      </c>
      <c r="B998" t="s">
        <v>108</v>
      </c>
      <c r="C998" s="8">
        <v>46107</v>
      </c>
      <c r="D998" s="9">
        <v>16920</v>
      </c>
    </row>
    <row r="999" spans="1:4">
      <c r="A999" t="s">
        <v>8</v>
      </c>
      <c r="B999" t="s">
        <v>256</v>
      </c>
      <c r="C999" s="8">
        <v>46107</v>
      </c>
      <c r="D999" s="9">
        <v>26120</v>
      </c>
    </row>
    <row r="1000" spans="1:4">
      <c r="A1000" t="s">
        <v>8</v>
      </c>
      <c r="B1000" t="s">
        <v>199</v>
      </c>
      <c r="C1000" s="8">
        <v>46107</v>
      </c>
      <c r="D1000" s="9">
        <v>20686</v>
      </c>
    </row>
    <row r="1001" spans="1:4">
      <c r="A1001" t="s">
        <v>5</v>
      </c>
      <c r="B1001" t="s">
        <v>93</v>
      </c>
      <c r="C1001" s="8">
        <v>46107</v>
      </c>
      <c r="D1001" s="9">
        <v>43097</v>
      </c>
    </row>
    <row r="1002" spans="1:4">
      <c r="A1002" t="s">
        <v>5</v>
      </c>
      <c r="B1002" t="s">
        <v>209</v>
      </c>
      <c r="C1002" s="8">
        <v>46107</v>
      </c>
      <c r="D1002" s="9">
        <v>39421</v>
      </c>
    </row>
    <row r="1003" spans="1:4">
      <c r="A1003" t="s">
        <v>5</v>
      </c>
      <c r="B1003" t="s">
        <v>104</v>
      </c>
      <c r="C1003" s="8">
        <v>46107</v>
      </c>
      <c r="D1003" s="9">
        <v>50666</v>
      </c>
    </row>
    <row r="1004" spans="1:4">
      <c r="A1004" t="s">
        <v>5</v>
      </c>
      <c r="B1004" t="s">
        <v>95</v>
      </c>
      <c r="C1004" s="8">
        <v>46107</v>
      </c>
      <c r="D1004" s="9">
        <v>34564</v>
      </c>
    </row>
    <row r="1005" spans="1:4">
      <c r="A1005" t="s">
        <v>5</v>
      </c>
      <c r="B1005" t="s">
        <v>190</v>
      </c>
      <c r="C1005" s="8">
        <v>46107</v>
      </c>
      <c r="D1005" s="9">
        <v>35393</v>
      </c>
    </row>
    <row r="1006" spans="1:4">
      <c r="A1006" t="s">
        <v>5</v>
      </c>
      <c r="B1006" t="s">
        <v>118</v>
      </c>
      <c r="C1006" s="8">
        <v>46107</v>
      </c>
      <c r="D1006" s="9">
        <v>28607</v>
      </c>
    </row>
    <row r="1007" spans="1:4">
      <c r="A1007" t="s">
        <v>27</v>
      </c>
      <c r="B1007" t="s">
        <v>270</v>
      </c>
      <c r="C1007" s="8">
        <v>46108</v>
      </c>
      <c r="D1007" s="9">
        <v>15480</v>
      </c>
    </row>
    <row r="1008" spans="1:4">
      <c r="A1008" t="s">
        <v>8</v>
      </c>
      <c r="B1008" t="s">
        <v>266</v>
      </c>
      <c r="C1008" s="8">
        <v>46108</v>
      </c>
      <c r="D1008" s="9">
        <v>23954</v>
      </c>
    </row>
    <row r="1009" spans="1:4">
      <c r="A1009" t="s">
        <v>6</v>
      </c>
      <c r="B1009" t="s">
        <v>180</v>
      </c>
      <c r="C1009" s="8">
        <v>46108</v>
      </c>
      <c r="D1009" s="9">
        <v>25920</v>
      </c>
    </row>
    <row r="1010" spans="1:4">
      <c r="A1010" t="s">
        <v>9</v>
      </c>
      <c r="B1010" t="s">
        <v>269</v>
      </c>
      <c r="C1010" s="8">
        <v>46108</v>
      </c>
      <c r="D1010" s="9">
        <v>35738</v>
      </c>
    </row>
    <row r="1011" spans="1:4">
      <c r="A1011" t="s">
        <v>9</v>
      </c>
      <c r="B1011" t="s">
        <v>208</v>
      </c>
      <c r="C1011" s="8">
        <v>46108</v>
      </c>
      <c r="D1011" s="9">
        <v>37115</v>
      </c>
    </row>
    <row r="1012" spans="1:4">
      <c r="A1012" t="s">
        <v>9</v>
      </c>
      <c r="B1012" t="s">
        <v>91</v>
      </c>
      <c r="C1012" s="8">
        <v>46108</v>
      </c>
      <c r="D1012" s="9">
        <v>38561</v>
      </c>
    </row>
    <row r="1013" spans="1:4">
      <c r="A1013" t="s">
        <v>9</v>
      </c>
      <c r="B1013" t="s">
        <v>88</v>
      </c>
      <c r="C1013" s="8">
        <v>46108</v>
      </c>
      <c r="D1013" s="9">
        <v>45994</v>
      </c>
    </row>
    <row r="1014" spans="1:4">
      <c r="A1014" t="s">
        <v>5</v>
      </c>
      <c r="B1014" t="s">
        <v>96</v>
      </c>
      <c r="C1014" s="8">
        <v>46108</v>
      </c>
      <c r="D1014" s="9">
        <v>58139</v>
      </c>
    </row>
    <row r="1015" spans="1:4">
      <c r="A1015" t="s">
        <v>5</v>
      </c>
      <c r="B1015" t="s">
        <v>132</v>
      </c>
      <c r="C1015" s="8">
        <v>46108</v>
      </c>
      <c r="D1015" s="9">
        <v>33479</v>
      </c>
    </row>
    <row r="1016" spans="1:4">
      <c r="A1016" t="s">
        <v>27</v>
      </c>
      <c r="B1016" t="s">
        <v>265</v>
      </c>
      <c r="C1016" s="8">
        <v>46109</v>
      </c>
      <c r="D1016" s="9">
        <v>18295</v>
      </c>
    </row>
    <row r="1017" spans="1:4">
      <c r="A1017" t="s">
        <v>26</v>
      </c>
      <c r="B1017" t="s">
        <v>278</v>
      </c>
      <c r="C1017" s="8">
        <v>46109</v>
      </c>
      <c r="D1017" s="9">
        <v>10415</v>
      </c>
    </row>
    <row r="1018" spans="1:4">
      <c r="A1018" t="s">
        <v>34</v>
      </c>
      <c r="B1018" t="s">
        <v>225</v>
      </c>
      <c r="C1018" s="8">
        <v>46109</v>
      </c>
      <c r="D1018" s="9">
        <v>21457</v>
      </c>
    </row>
    <row r="1019" spans="1:4">
      <c r="A1019" t="s">
        <v>6</v>
      </c>
      <c r="B1019" t="s">
        <v>216</v>
      </c>
      <c r="C1019" s="8">
        <v>46109</v>
      </c>
      <c r="D1019" s="9">
        <v>30611</v>
      </c>
    </row>
    <row r="1020" spans="1:4">
      <c r="A1020" t="s">
        <v>7</v>
      </c>
      <c r="B1020" t="s">
        <v>263</v>
      </c>
      <c r="C1020" s="8">
        <v>46109</v>
      </c>
      <c r="D1020" s="9">
        <v>35368</v>
      </c>
    </row>
    <row r="1021" spans="1:4">
      <c r="A1021" t="s">
        <v>7</v>
      </c>
      <c r="B1021" t="s">
        <v>275</v>
      </c>
      <c r="C1021" s="8">
        <v>46109</v>
      </c>
      <c r="D1021" s="9">
        <v>32948</v>
      </c>
    </row>
    <row r="1022" spans="1:4">
      <c r="A1022" t="s">
        <v>9</v>
      </c>
      <c r="B1022" t="s">
        <v>221</v>
      </c>
      <c r="C1022" s="8">
        <v>46109</v>
      </c>
      <c r="D1022" s="9">
        <v>44228</v>
      </c>
    </row>
    <row r="1023" spans="1:4">
      <c r="A1023" t="s">
        <v>5</v>
      </c>
      <c r="B1023" t="s">
        <v>242</v>
      </c>
      <c r="C1023" s="8">
        <v>46109</v>
      </c>
      <c r="D1023" s="9">
        <v>39942</v>
      </c>
    </row>
    <row r="1024" spans="1:4">
      <c r="A1024" t="s">
        <v>5</v>
      </c>
      <c r="B1024" t="s">
        <v>202</v>
      </c>
      <c r="C1024" s="8">
        <v>46109</v>
      </c>
      <c r="D1024" s="9">
        <v>32289</v>
      </c>
    </row>
    <row r="1025" spans="1:4">
      <c r="A1025" t="s">
        <v>5</v>
      </c>
      <c r="B1025" t="s">
        <v>140</v>
      </c>
      <c r="C1025" s="8">
        <v>46109</v>
      </c>
      <c r="D1025" s="9">
        <v>40915</v>
      </c>
    </row>
    <row r="1026" spans="1:4">
      <c r="A1026" t="s">
        <v>5</v>
      </c>
      <c r="B1026" t="s">
        <v>146</v>
      </c>
      <c r="C1026" s="8">
        <v>46109</v>
      </c>
      <c r="D1026" s="9">
        <v>50788</v>
      </c>
    </row>
    <row r="1027" spans="1:4">
      <c r="A1027" t="s">
        <v>4</v>
      </c>
      <c r="B1027" t="s">
        <v>185</v>
      </c>
      <c r="C1027" s="8">
        <v>46110</v>
      </c>
      <c r="D1027" s="9">
        <v>37662</v>
      </c>
    </row>
    <row r="1028" spans="1:4">
      <c r="A1028" t="s">
        <v>8</v>
      </c>
      <c r="B1028" t="s">
        <v>49</v>
      </c>
      <c r="C1028" s="8">
        <v>46110</v>
      </c>
      <c r="D1028" s="9">
        <v>19382</v>
      </c>
    </row>
    <row r="1029" spans="1:4">
      <c r="A1029" t="s">
        <v>32</v>
      </c>
      <c r="B1029" t="s">
        <v>233</v>
      </c>
      <c r="C1029" s="8">
        <v>46110</v>
      </c>
      <c r="D1029" s="9">
        <v>5200</v>
      </c>
    </row>
    <row r="1030" spans="1:4">
      <c r="A1030" t="s">
        <v>34</v>
      </c>
      <c r="B1030" t="s">
        <v>58</v>
      </c>
      <c r="C1030" s="8">
        <v>46110</v>
      </c>
      <c r="D1030" s="9">
        <v>13278</v>
      </c>
    </row>
    <row r="1031" spans="1:4">
      <c r="A1031" t="s">
        <v>7</v>
      </c>
      <c r="B1031" t="s">
        <v>77</v>
      </c>
      <c r="C1031" s="8">
        <v>46110</v>
      </c>
      <c r="D1031" s="9">
        <v>27674</v>
      </c>
    </row>
    <row r="1032" spans="1:4">
      <c r="A1032" t="s">
        <v>7</v>
      </c>
      <c r="B1032" t="s">
        <v>268</v>
      </c>
      <c r="C1032" s="8">
        <v>46110</v>
      </c>
      <c r="D1032" s="9">
        <v>21562</v>
      </c>
    </row>
    <row r="1033" spans="1:4">
      <c r="A1033" t="s">
        <v>9</v>
      </c>
      <c r="B1033" t="s">
        <v>173</v>
      </c>
      <c r="C1033" s="8">
        <v>46110</v>
      </c>
      <c r="D1033" s="9">
        <v>30313</v>
      </c>
    </row>
    <row r="1034" spans="1:4">
      <c r="A1034" t="s">
        <v>9</v>
      </c>
      <c r="B1034" t="s">
        <v>92</v>
      </c>
      <c r="C1034" s="8">
        <v>46110</v>
      </c>
      <c r="D1034" s="9">
        <v>34138</v>
      </c>
    </row>
    <row r="1035" spans="1:4">
      <c r="A1035" t="s">
        <v>9</v>
      </c>
      <c r="B1035" t="s">
        <v>146</v>
      </c>
      <c r="C1035" s="8">
        <v>46110</v>
      </c>
      <c r="D1035" s="9">
        <v>43497</v>
      </c>
    </row>
    <row r="1036" spans="1:4">
      <c r="A1036" t="s">
        <v>5</v>
      </c>
      <c r="B1036" t="s">
        <v>221</v>
      </c>
      <c r="C1036" s="8">
        <v>46110</v>
      </c>
      <c r="D1036" s="9">
        <v>45899</v>
      </c>
    </row>
    <row r="1037" spans="1:4">
      <c r="A1037" t="s">
        <v>5</v>
      </c>
      <c r="B1037" t="s">
        <v>132</v>
      </c>
      <c r="C1037" s="8">
        <v>46110</v>
      </c>
      <c r="D1037" s="9">
        <v>41805</v>
      </c>
    </row>
    <row r="1038" spans="1:4">
      <c r="A1038" t="s">
        <v>5</v>
      </c>
      <c r="B1038" t="s">
        <v>95</v>
      </c>
      <c r="C1038" s="8">
        <v>46110</v>
      </c>
      <c r="D1038" s="9">
        <v>40223</v>
      </c>
    </row>
    <row r="1039" spans="1:4">
      <c r="A1039" t="s">
        <v>5</v>
      </c>
      <c r="B1039" t="s">
        <v>168</v>
      </c>
      <c r="C1039" s="8">
        <v>46110</v>
      </c>
      <c r="D1039" s="9">
        <v>30514</v>
      </c>
    </row>
    <row r="1040" spans="1:4">
      <c r="A1040" t="s">
        <v>5</v>
      </c>
      <c r="B1040" t="s">
        <v>168</v>
      </c>
      <c r="C1040" s="8">
        <v>46110</v>
      </c>
      <c r="D1040" s="9">
        <v>36534</v>
      </c>
    </row>
    <row r="1041" spans="1:4">
      <c r="A1041" t="s">
        <v>4</v>
      </c>
      <c r="B1041" t="s">
        <v>244</v>
      </c>
      <c r="C1041" s="8">
        <v>46111</v>
      </c>
      <c r="D1041" s="9">
        <v>23657</v>
      </c>
    </row>
    <row r="1042" spans="1:4">
      <c r="A1042" t="s">
        <v>4</v>
      </c>
      <c r="B1042" t="s">
        <v>230</v>
      </c>
      <c r="C1042" s="8">
        <v>46111</v>
      </c>
      <c r="D1042" s="9">
        <v>34817</v>
      </c>
    </row>
    <row r="1043" spans="1:4">
      <c r="A1043" t="s">
        <v>31</v>
      </c>
      <c r="B1043" t="s">
        <v>272</v>
      </c>
      <c r="C1043" s="8">
        <v>46111</v>
      </c>
      <c r="D1043" s="9">
        <v>5200</v>
      </c>
    </row>
    <row r="1044" spans="1:4">
      <c r="A1044" t="s">
        <v>28</v>
      </c>
      <c r="B1044" t="s">
        <v>152</v>
      </c>
      <c r="C1044" s="8">
        <v>46111</v>
      </c>
      <c r="D1044" s="9">
        <v>13121</v>
      </c>
    </row>
    <row r="1045" spans="1:4">
      <c r="A1045" t="s">
        <v>26</v>
      </c>
      <c r="B1045" t="s">
        <v>223</v>
      </c>
      <c r="C1045" s="8">
        <v>46111</v>
      </c>
      <c r="D1045" s="9">
        <v>24856</v>
      </c>
    </row>
    <row r="1046" spans="1:4">
      <c r="A1046" t="s">
        <v>30</v>
      </c>
      <c r="B1046" t="s">
        <v>56</v>
      </c>
      <c r="C1046" s="8">
        <v>46111</v>
      </c>
      <c r="D1046" s="9">
        <v>16027</v>
      </c>
    </row>
    <row r="1047" spans="1:4">
      <c r="A1047" t="s">
        <v>6</v>
      </c>
      <c r="B1047" t="s">
        <v>123</v>
      </c>
      <c r="C1047" s="8">
        <v>46111</v>
      </c>
      <c r="D1047" s="9">
        <v>23491</v>
      </c>
    </row>
    <row r="1048" spans="1:4">
      <c r="A1048" t="s">
        <v>7</v>
      </c>
      <c r="B1048" t="s">
        <v>47</v>
      </c>
      <c r="C1048" s="8">
        <v>46111</v>
      </c>
      <c r="D1048" s="9">
        <v>7471</v>
      </c>
    </row>
    <row r="1049" spans="1:4">
      <c r="A1049" t="s">
        <v>9</v>
      </c>
      <c r="B1049" t="s">
        <v>173</v>
      </c>
      <c r="C1049" s="8">
        <v>46111</v>
      </c>
      <c r="D1049" s="9">
        <v>33423</v>
      </c>
    </row>
    <row r="1050" spans="1:4">
      <c r="A1050" t="s">
        <v>9</v>
      </c>
      <c r="B1050" t="s">
        <v>195</v>
      </c>
      <c r="C1050" s="8">
        <v>46111</v>
      </c>
      <c r="D1050" s="9">
        <v>43426</v>
      </c>
    </row>
    <row r="1051" spans="1:4">
      <c r="A1051" t="s">
        <v>5</v>
      </c>
      <c r="B1051" t="s">
        <v>115</v>
      </c>
      <c r="C1051" s="8">
        <v>46111</v>
      </c>
      <c r="D1051" s="9">
        <v>30231</v>
      </c>
    </row>
    <row r="1052" spans="1:4">
      <c r="A1052" t="s">
        <v>5</v>
      </c>
      <c r="B1052" t="s">
        <v>124</v>
      </c>
      <c r="C1052" s="8">
        <v>46111</v>
      </c>
      <c r="D1052" s="9">
        <v>39544</v>
      </c>
    </row>
    <row r="1053" spans="1:4">
      <c r="A1053" t="s">
        <v>5</v>
      </c>
      <c r="B1053" t="s">
        <v>182</v>
      </c>
      <c r="C1053" s="8">
        <v>46111</v>
      </c>
      <c r="D1053" s="9">
        <v>36493</v>
      </c>
    </row>
    <row r="1054" spans="1:4">
      <c r="A1054" t="s">
        <v>5</v>
      </c>
      <c r="B1054" t="s">
        <v>104</v>
      </c>
      <c r="C1054" s="8">
        <v>46111</v>
      </c>
      <c r="D1054" s="9">
        <v>40223</v>
      </c>
    </row>
    <row r="1055" spans="1:4">
      <c r="A1055" t="s">
        <v>5</v>
      </c>
      <c r="B1055" t="s">
        <v>202</v>
      </c>
      <c r="C1055" s="8">
        <v>46111</v>
      </c>
      <c r="D1055" s="9">
        <v>34427</v>
      </c>
    </row>
    <row r="1056" spans="1:4">
      <c r="A1056" t="s">
        <v>27</v>
      </c>
      <c r="B1056" t="s">
        <v>211</v>
      </c>
      <c r="C1056" s="8">
        <v>46112</v>
      </c>
      <c r="D1056" s="9">
        <v>18943</v>
      </c>
    </row>
    <row r="1057" spans="1:4">
      <c r="A1057" t="s">
        <v>4</v>
      </c>
      <c r="B1057" t="s">
        <v>201</v>
      </c>
      <c r="C1057" s="8">
        <v>46112</v>
      </c>
      <c r="D1057" s="9">
        <v>35270</v>
      </c>
    </row>
    <row r="1058" spans="1:4">
      <c r="A1058" t="s">
        <v>26</v>
      </c>
      <c r="B1058" t="s">
        <v>179</v>
      </c>
      <c r="C1058" s="8">
        <v>46112</v>
      </c>
      <c r="D1058" s="9">
        <v>19692</v>
      </c>
    </row>
    <row r="1059" spans="1:4">
      <c r="A1059" t="s">
        <v>26</v>
      </c>
      <c r="B1059" t="s">
        <v>232</v>
      </c>
      <c r="C1059" s="8">
        <v>46112</v>
      </c>
      <c r="D1059" s="9">
        <v>18604</v>
      </c>
    </row>
    <row r="1060" spans="1:4">
      <c r="A1060" t="s">
        <v>26</v>
      </c>
      <c r="B1060" t="s">
        <v>252</v>
      </c>
      <c r="C1060" s="8">
        <v>46112</v>
      </c>
      <c r="D1060" s="9">
        <v>33550</v>
      </c>
    </row>
    <row r="1061" spans="1:4">
      <c r="A1061" t="s">
        <v>8</v>
      </c>
      <c r="B1061" t="s">
        <v>98</v>
      </c>
      <c r="C1061" s="8">
        <v>46112</v>
      </c>
      <c r="D1061" s="9">
        <v>35952</v>
      </c>
    </row>
    <row r="1062" spans="1:4">
      <c r="A1062" t="s">
        <v>33</v>
      </c>
      <c r="B1062" t="s">
        <v>253</v>
      </c>
      <c r="C1062" s="8">
        <v>46112</v>
      </c>
      <c r="D1062" s="9">
        <v>12516</v>
      </c>
    </row>
    <row r="1063" spans="1:4">
      <c r="A1063" t="s">
        <v>9</v>
      </c>
      <c r="B1063" t="s">
        <v>101</v>
      </c>
      <c r="C1063" s="8">
        <v>46112</v>
      </c>
      <c r="D1063" s="9">
        <v>25507</v>
      </c>
    </row>
    <row r="1064" spans="1:4">
      <c r="A1064" t="s">
        <v>9</v>
      </c>
      <c r="B1064" t="s">
        <v>228</v>
      </c>
      <c r="C1064" s="8">
        <v>46112</v>
      </c>
      <c r="D1064" s="9">
        <v>35960</v>
      </c>
    </row>
    <row r="1065" spans="1:4">
      <c r="A1065" t="s">
        <v>5</v>
      </c>
      <c r="B1065" t="s">
        <v>103</v>
      </c>
      <c r="C1065" s="8">
        <v>46112</v>
      </c>
      <c r="D1065" s="9">
        <v>39796</v>
      </c>
    </row>
    <row r="1066" spans="1:4">
      <c r="A1066" t="s">
        <v>5</v>
      </c>
      <c r="B1066" t="s">
        <v>196</v>
      </c>
      <c r="C1066" s="8">
        <v>46112</v>
      </c>
      <c r="D1066" s="9">
        <v>49545</v>
      </c>
    </row>
    <row r="1067" spans="1:4">
      <c r="A1067" t="s">
        <v>5</v>
      </c>
      <c r="B1067" t="s">
        <v>196</v>
      </c>
      <c r="C1067" s="8">
        <v>46112</v>
      </c>
      <c r="D1067" s="9">
        <v>38346</v>
      </c>
    </row>
    <row r="1068" spans="1:4">
      <c r="A1068" t="s">
        <v>5</v>
      </c>
      <c r="B1068" t="s">
        <v>117</v>
      </c>
      <c r="C1068" s="8">
        <v>46112</v>
      </c>
      <c r="D1068" s="9">
        <v>47003</v>
      </c>
    </row>
    <row r="1069" spans="1:4">
      <c r="A1069" t="s">
        <v>5</v>
      </c>
      <c r="B1069" t="s">
        <v>197</v>
      </c>
      <c r="C1069" s="8">
        <v>46112</v>
      </c>
      <c r="D1069" s="9">
        <v>41605</v>
      </c>
    </row>
    <row r="1070" spans="1:4">
      <c r="A1070" t="s">
        <v>5</v>
      </c>
      <c r="B1070" t="s">
        <v>168</v>
      </c>
      <c r="C1070" s="8">
        <v>46112</v>
      </c>
      <c r="D1070" s="9">
        <v>39922</v>
      </c>
    </row>
    <row r="1071" spans="1:4">
      <c r="A1071" t="s">
        <v>5</v>
      </c>
      <c r="B1071" t="s">
        <v>125</v>
      </c>
      <c r="C1071" s="8">
        <v>46112</v>
      </c>
      <c r="D1071" s="9">
        <v>48722</v>
      </c>
    </row>
    <row r="1072" spans="1:4">
      <c r="A1072" t="s">
        <v>30</v>
      </c>
      <c r="B1072" t="s">
        <v>55</v>
      </c>
      <c r="C1072" s="8">
        <v>46113</v>
      </c>
      <c r="D1072" s="9">
        <v>15745</v>
      </c>
    </row>
    <row r="1073" spans="1:4">
      <c r="A1073" t="s">
        <v>7</v>
      </c>
      <c r="B1073" t="s">
        <v>75</v>
      </c>
      <c r="C1073" s="8">
        <v>46113</v>
      </c>
      <c r="D1073" s="9">
        <v>26022</v>
      </c>
    </row>
    <row r="1074" spans="1:4">
      <c r="A1074" t="s">
        <v>7</v>
      </c>
      <c r="B1074" t="s">
        <v>257</v>
      </c>
      <c r="C1074" s="8">
        <v>46113</v>
      </c>
      <c r="D1074" s="9">
        <v>32217</v>
      </c>
    </row>
    <row r="1075" spans="1:4">
      <c r="A1075" t="s">
        <v>7</v>
      </c>
      <c r="B1075" t="s">
        <v>275</v>
      </c>
      <c r="C1075" s="8">
        <v>46113</v>
      </c>
      <c r="D1075" s="9">
        <v>31087</v>
      </c>
    </row>
    <row r="1076" spans="1:4">
      <c r="A1076" t="s">
        <v>7</v>
      </c>
      <c r="B1076" t="s">
        <v>267</v>
      </c>
      <c r="C1076" s="8">
        <v>46113</v>
      </c>
      <c r="D1076" s="9">
        <v>26010</v>
      </c>
    </row>
    <row r="1077" spans="1:4">
      <c r="A1077" t="s">
        <v>9</v>
      </c>
      <c r="B1077" t="s">
        <v>208</v>
      </c>
      <c r="C1077" s="8">
        <v>46113</v>
      </c>
      <c r="D1077" s="9">
        <v>39465</v>
      </c>
    </row>
    <row r="1078" spans="1:4">
      <c r="A1078" t="s">
        <v>5</v>
      </c>
      <c r="B1078" t="s">
        <v>181</v>
      </c>
      <c r="C1078" s="8">
        <v>46113</v>
      </c>
      <c r="D1078" s="9">
        <v>22665</v>
      </c>
    </row>
    <row r="1079" spans="1:4">
      <c r="A1079" t="s">
        <v>5</v>
      </c>
      <c r="B1079" t="s">
        <v>94</v>
      </c>
      <c r="C1079" s="8">
        <v>46113</v>
      </c>
      <c r="D1079" s="9">
        <v>36701</v>
      </c>
    </row>
    <row r="1080" spans="1:4">
      <c r="A1080" t="s">
        <v>5</v>
      </c>
      <c r="B1080" t="s">
        <v>202</v>
      </c>
      <c r="C1080" s="8">
        <v>46113</v>
      </c>
      <c r="D1080" s="9">
        <v>30882</v>
      </c>
    </row>
    <row r="1081" spans="1:4">
      <c r="A1081" t="s">
        <v>5</v>
      </c>
      <c r="B1081" t="s">
        <v>105</v>
      </c>
      <c r="C1081" s="8">
        <v>46113</v>
      </c>
      <c r="D1081" s="9">
        <v>44685</v>
      </c>
    </row>
    <row r="1082" spans="1:4">
      <c r="A1082" t="s">
        <v>4</v>
      </c>
      <c r="B1082" t="s">
        <v>133</v>
      </c>
      <c r="C1082" s="8">
        <v>46114</v>
      </c>
      <c r="D1082" s="9">
        <v>44320</v>
      </c>
    </row>
    <row r="1083" spans="1:4">
      <c r="A1083" t="s">
        <v>4</v>
      </c>
      <c r="B1083" t="s">
        <v>198</v>
      </c>
      <c r="C1083" s="8">
        <v>46114</v>
      </c>
      <c r="D1083" s="9">
        <v>46280</v>
      </c>
    </row>
    <row r="1084" spans="1:4">
      <c r="A1084" t="s">
        <v>30</v>
      </c>
      <c r="B1084" t="s">
        <v>56</v>
      </c>
      <c r="C1084" s="8">
        <v>46114</v>
      </c>
      <c r="D1084" s="9">
        <v>15732</v>
      </c>
    </row>
    <row r="1085" spans="1:4">
      <c r="A1085" t="s">
        <v>6</v>
      </c>
      <c r="B1085" t="s">
        <v>200</v>
      </c>
      <c r="C1085" s="8">
        <v>46114</v>
      </c>
      <c r="D1085" s="9">
        <v>20530</v>
      </c>
    </row>
    <row r="1086" spans="1:4">
      <c r="A1086" t="s">
        <v>9</v>
      </c>
      <c r="B1086" t="s">
        <v>136</v>
      </c>
      <c r="C1086" s="8">
        <v>46114</v>
      </c>
      <c r="D1086" s="9">
        <v>34459</v>
      </c>
    </row>
    <row r="1087" spans="1:4">
      <c r="A1087" t="s">
        <v>9</v>
      </c>
      <c r="B1087" t="s">
        <v>150</v>
      </c>
      <c r="C1087" s="8">
        <v>46114</v>
      </c>
      <c r="D1087" s="9">
        <v>26427</v>
      </c>
    </row>
    <row r="1088" spans="1:4">
      <c r="A1088" t="s">
        <v>5</v>
      </c>
      <c r="B1088" t="s">
        <v>115</v>
      </c>
      <c r="C1088" s="8">
        <v>46114</v>
      </c>
      <c r="D1088" s="9">
        <v>34157</v>
      </c>
    </row>
    <row r="1089" spans="1:4">
      <c r="A1089" t="s">
        <v>5</v>
      </c>
      <c r="B1089" t="s">
        <v>221</v>
      </c>
      <c r="C1089" s="8">
        <v>46114</v>
      </c>
      <c r="D1089" s="9">
        <v>49728</v>
      </c>
    </row>
    <row r="1090" spans="1:4">
      <c r="A1090" t="s">
        <v>5</v>
      </c>
      <c r="B1090" t="s">
        <v>221</v>
      </c>
      <c r="C1090" s="8">
        <v>46114</v>
      </c>
      <c r="D1090" s="9">
        <v>48718</v>
      </c>
    </row>
    <row r="1091" spans="1:4">
      <c r="A1091" t="s">
        <v>5</v>
      </c>
      <c r="B1091" t="s">
        <v>184</v>
      </c>
      <c r="C1091" s="8">
        <v>46114</v>
      </c>
      <c r="D1091" s="9">
        <v>56038</v>
      </c>
    </row>
    <row r="1092" spans="1:4">
      <c r="A1092" t="s">
        <v>5</v>
      </c>
      <c r="B1092" t="s">
        <v>103</v>
      </c>
      <c r="C1092" s="8">
        <v>46114</v>
      </c>
      <c r="D1092" s="9">
        <v>33135</v>
      </c>
    </row>
    <row r="1093" spans="1:4">
      <c r="A1093" t="s">
        <v>5</v>
      </c>
      <c r="B1093" t="s">
        <v>191</v>
      </c>
      <c r="C1093" s="8">
        <v>46114</v>
      </c>
      <c r="D1093" s="9">
        <v>31473</v>
      </c>
    </row>
    <row r="1094" spans="1:4">
      <c r="A1094" t="s">
        <v>5</v>
      </c>
      <c r="B1094" t="s">
        <v>183</v>
      </c>
      <c r="C1094" s="8">
        <v>46114</v>
      </c>
      <c r="D1094" s="9">
        <v>40672</v>
      </c>
    </row>
    <row r="1095" spans="1:4">
      <c r="A1095" t="s">
        <v>5</v>
      </c>
      <c r="B1095" t="s">
        <v>205</v>
      </c>
      <c r="C1095" s="8">
        <v>46114</v>
      </c>
      <c r="D1095" s="9">
        <v>36645</v>
      </c>
    </row>
    <row r="1096" spans="1:4">
      <c r="A1096" t="s">
        <v>35</v>
      </c>
      <c r="B1096" t="s">
        <v>210</v>
      </c>
      <c r="C1096" s="8">
        <v>46115</v>
      </c>
      <c r="D1096" s="9">
        <v>5200</v>
      </c>
    </row>
    <row r="1097" spans="1:4">
      <c r="A1097" t="s">
        <v>27</v>
      </c>
      <c r="B1097" t="s">
        <v>160</v>
      </c>
      <c r="C1097" s="8">
        <v>46115</v>
      </c>
      <c r="D1097" s="9">
        <v>16003</v>
      </c>
    </row>
    <row r="1098" spans="1:4">
      <c r="A1098" t="s">
        <v>27</v>
      </c>
      <c r="B1098" t="s">
        <v>82</v>
      </c>
      <c r="C1098" s="8">
        <v>46115</v>
      </c>
      <c r="D1098" s="9">
        <v>18489</v>
      </c>
    </row>
    <row r="1099" spans="1:4">
      <c r="A1099" t="s">
        <v>38</v>
      </c>
      <c r="B1099" t="s">
        <v>69</v>
      </c>
      <c r="C1099" s="8">
        <v>46115</v>
      </c>
      <c r="D1099" s="9">
        <v>14362</v>
      </c>
    </row>
    <row r="1100" spans="1:4">
      <c r="A1100" t="s">
        <v>8</v>
      </c>
      <c r="B1100" t="s">
        <v>194</v>
      </c>
      <c r="C1100" s="8">
        <v>46115</v>
      </c>
      <c r="D1100" s="9">
        <v>21084</v>
      </c>
    </row>
    <row r="1101" spans="1:4">
      <c r="A1101" t="s">
        <v>29</v>
      </c>
      <c r="B1101" t="s">
        <v>165</v>
      </c>
      <c r="C1101" s="8">
        <v>46115</v>
      </c>
      <c r="D1101" s="9">
        <v>18169</v>
      </c>
    </row>
    <row r="1102" spans="1:4">
      <c r="A1102" t="s">
        <v>5</v>
      </c>
      <c r="B1102" t="s">
        <v>110</v>
      </c>
      <c r="C1102" s="8">
        <v>46115</v>
      </c>
      <c r="D1102" s="9">
        <v>33136</v>
      </c>
    </row>
    <row r="1103" spans="1:4">
      <c r="A1103" t="s">
        <v>5</v>
      </c>
      <c r="B1103" t="s">
        <v>124</v>
      </c>
      <c r="C1103" s="8">
        <v>46115</v>
      </c>
      <c r="D1103" s="9">
        <v>43851</v>
      </c>
    </row>
    <row r="1104" spans="1:4">
      <c r="A1104" t="s">
        <v>5</v>
      </c>
      <c r="B1104" t="s">
        <v>117</v>
      </c>
      <c r="C1104" s="8">
        <v>46115</v>
      </c>
      <c r="D1104" s="9">
        <v>45476</v>
      </c>
    </row>
    <row r="1105" spans="1:4">
      <c r="A1105" t="s">
        <v>5</v>
      </c>
      <c r="B1105" t="s">
        <v>243</v>
      </c>
      <c r="C1105" s="8">
        <v>46115</v>
      </c>
      <c r="D1105" s="9">
        <v>33879</v>
      </c>
    </row>
    <row r="1106" spans="1:4">
      <c r="A1106" t="s">
        <v>4</v>
      </c>
      <c r="B1106" t="s">
        <v>190</v>
      </c>
      <c r="C1106" s="8">
        <v>46116</v>
      </c>
      <c r="D1106" s="9">
        <v>37921</v>
      </c>
    </row>
    <row r="1107" spans="1:4">
      <c r="A1107" t="s">
        <v>4</v>
      </c>
      <c r="B1107" t="s">
        <v>230</v>
      </c>
      <c r="C1107" s="8">
        <v>46116</v>
      </c>
      <c r="D1107" s="9">
        <v>30022</v>
      </c>
    </row>
    <row r="1108" spans="1:4">
      <c r="A1108" t="s">
        <v>26</v>
      </c>
      <c r="B1108" t="s">
        <v>251</v>
      </c>
      <c r="C1108" s="8">
        <v>46116</v>
      </c>
      <c r="D1108" s="9">
        <v>18845</v>
      </c>
    </row>
    <row r="1109" spans="1:4">
      <c r="A1109" t="s">
        <v>26</v>
      </c>
      <c r="B1109" t="s">
        <v>223</v>
      </c>
      <c r="C1109" s="8">
        <v>46116</v>
      </c>
      <c r="D1109" s="9">
        <v>10618</v>
      </c>
    </row>
    <row r="1110" spans="1:4">
      <c r="A1110" t="s">
        <v>8</v>
      </c>
      <c r="B1110" t="s">
        <v>86</v>
      </c>
      <c r="C1110" s="8">
        <v>46116</v>
      </c>
      <c r="D1110" s="9">
        <v>16112</v>
      </c>
    </row>
    <row r="1111" spans="1:4">
      <c r="A1111" t="s">
        <v>6</v>
      </c>
      <c r="B1111" t="s">
        <v>262</v>
      </c>
      <c r="C1111" s="8">
        <v>46116</v>
      </c>
      <c r="D1111" s="9">
        <v>18268</v>
      </c>
    </row>
    <row r="1112" spans="1:4">
      <c r="A1112" t="s">
        <v>6</v>
      </c>
      <c r="B1112" t="s">
        <v>164</v>
      </c>
      <c r="C1112" s="8">
        <v>46116</v>
      </c>
      <c r="D1112" s="9">
        <v>17460</v>
      </c>
    </row>
    <row r="1113" spans="1:4">
      <c r="A1113" t="s">
        <v>7</v>
      </c>
      <c r="B1113" t="s">
        <v>90</v>
      </c>
      <c r="C1113" s="8">
        <v>46116</v>
      </c>
      <c r="D1113" s="9">
        <v>7223</v>
      </c>
    </row>
    <row r="1114" spans="1:4">
      <c r="A1114" t="s">
        <v>9</v>
      </c>
      <c r="B1114" t="s">
        <v>209</v>
      </c>
      <c r="C1114" s="8">
        <v>46116</v>
      </c>
      <c r="D1114" s="9">
        <v>51488</v>
      </c>
    </row>
    <row r="1115" spans="1:4">
      <c r="A1115" t="s">
        <v>9</v>
      </c>
      <c r="B1115" t="s">
        <v>65</v>
      </c>
      <c r="C1115" s="8">
        <v>46116</v>
      </c>
      <c r="D1115" s="9">
        <v>39766</v>
      </c>
    </row>
    <row r="1116" spans="1:4">
      <c r="A1116" t="s">
        <v>9</v>
      </c>
      <c r="B1116" t="s">
        <v>172</v>
      </c>
      <c r="C1116" s="8">
        <v>46116</v>
      </c>
      <c r="D1116" s="9">
        <v>29222</v>
      </c>
    </row>
    <row r="1117" spans="1:4">
      <c r="A1117" t="s">
        <v>9</v>
      </c>
      <c r="B1117" t="s">
        <v>195</v>
      </c>
      <c r="C1117" s="8">
        <v>46116</v>
      </c>
      <c r="D1117" s="9">
        <v>34929</v>
      </c>
    </row>
    <row r="1118" spans="1:4">
      <c r="A1118" t="s">
        <v>9</v>
      </c>
      <c r="B1118" t="s">
        <v>57</v>
      </c>
      <c r="C1118" s="8">
        <v>46116</v>
      </c>
      <c r="D1118" s="9">
        <v>29044</v>
      </c>
    </row>
    <row r="1119" spans="1:4">
      <c r="A1119" t="s">
        <v>5</v>
      </c>
      <c r="B1119" t="s">
        <v>115</v>
      </c>
      <c r="C1119" s="8">
        <v>46116</v>
      </c>
      <c r="D1119" s="9">
        <v>30449</v>
      </c>
    </row>
    <row r="1120" spans="1:4">
      <c r="A1120" t="s">
        <v>5</v>
      </c>
      <c r="B1120" t="s">
        <v>184</v>
      </c>
      <c r="C1120" s="8">
        <v>46116</v>
      </c>
      <c r="D1120" s="9">
        <v>34699</v>
      </c>
    </row>
    <row r="1121" spans="1:4">
      <c r="A1121" t="s">
        <v>5</v>
      </c>
      <c r="B1121" t="s">
        <v>132</v>
      </c>
      <c r="C1121" s="8">
        <v>46116</v>
      </c>
      <c r="D1121" s="9">
        <v>34149</v>
      </c>
    </row>
    <row r="1122" spans="1:4">
      <c r="A1122" t="s">
        <v>5</v>
      </c>
      <c r="B1122" t="s">
        <v>95</v>
      </c>
      <c r="C1122" s="8">
        <v>46116</v>
      </c>
      <c r="D1122" s="9">
        <v>32664</v>
      </c>
    </row>
    <row r="1123" spans="1:4">
      <c r="A1123" t="s">
        <v>5</v>
      </c>
      <c r="B1123" t="s">
        <v>118</v>
      </c>
      <c r="C1123" s="8">
        <v>46116</v>
      </c>
      <c r="D1123" s="9">
        <v>37443</v>
      </c>
    </row>
    <row r="1124" spans="1:4">
      <c r="A1124" t="s">
        <v>5</v>
      </c>
      <c r="B1124" t="s">
        <v>174</v>
      </c>
      <c r="C1124" s="8">
        <v>46116</v>
      </c>
      <c r="D1124" s="9">
        <v>51551</v>
      </c>
    </row>
    <row r="1125" spans="1:4">
      <c r="A1125" t="s">
        <v>5</v>
      </c>
      <c r="B1125" t="s">
        <v>141</v>
      </c>
      <c r="C1125" s="8">
        <v>46116</v>
      </c>
      <c r="D1125" s="9">
        <v>33813</v>
      </c>
    </row>
    <row r="1126" spans="1:4">
      <c r="A1126" t="s">
        <v>27</v>
      </c>
      <c r="B1126" t="s">
        <v>68</v>
      </c>
      <c r="C1126" s="8">
        <v>46117</v>
      </c>
      <c r="D1126" s="9">
        <v>14919</v>
      </c>
    </row>
    <row r="1127" spans="1:4">
      <c r="A1127" t="s">
        <v>31</v>
      </c>
      <c r="B1127" t="s">
        <v>272</v>
      </c>
      <c r="C1127" s="8">
        <v>46117</v>
      </c>
      <c r="D1127" s="9">
        <v>10512</v>
      </c>
    </row>
    <row r="1128" spans="1:4">
      <c r="A1128" t="s">
        <v>28</v>
      </c>
      <c r="B1128" t="s">
        <v>240</v>
      </c>
      <c r="C1128" s="8">
        <v>46117</v>
      </c>
      <c r="D1128" s="9">
        <v>15225</v>
      </c>
    </row>
    <row r="1129" spans="1:4">
      <c r="A1129" t="s">
        <v>8</v>
      </c>
      <c r="B1129" t="s">
        <v>122</v>
      </c>
      <c r="C1129" s="8">
        <v>46117</v>
      </c>
      <c r="D1129" s="9">
        <v>28174</v>
      </c>
    </row>
    <row r="1130" spans="1:4">
      <c r="A1130" t="s">
        <v>8</v>
      </c>
      <c r="B1130" t="s">
        <v>52</v>
      </c>
      <c r="C1130" s="8">
        <v>46117</v>
      </c>
      <c r="D1130" s="9">
        <v>22855</v>
      </c>
    </row>
    <row r="1131" spans="1:4">
      <c r="A1131" t="s">
        <v>8</v>
      </c>
      <c r="B1131" t="s">
        <v>266</v>
      </c>
      <c r="C1131" s="8">
        <v>46117</v>
      </c>
      <c r="D1131" s="9">
        <v>17292</v>
      </c>
    </row>
    <row r="1132" spans="1:4">
      <c r="A1132" t="s">
        <v>9</v>
      </c>
      <c r="B1132" t="s">
        <v>264</v>
      </c>
      <c r="C1132" s="8">
        <v>46117</v>
      </c>
      <c r="D1132" s="9">
        <v>33925</v>
      </c>
    </row>
    <row r="1133" spans="1:4">
      <c r="A1133" t="s">
        <v>9</v>
      </c>
      <c r="B1133" t="s">
        <v>264</v>
      </c>
      <c r="C1133" s="8">
        <v>46117</v>
      </c>
      <c r="D1133" s="9">
        <v>37355</v>
      </c>
    </row>
    <row r="1134" spans="1:4">
      <c r="A1134" t="s">
        <v>9</v>
      </c>
      <c r="B1134" t="s">
        <v>138</v>
      </c>
      <c r="C1134" s="8">
        <v>46117</v>
      </c>
      <c r="D1134" s="9">
        <v>54145</v>
      </c>
    </row>
    <row r="1135" spans="1:4">
      <c r="A1135" t="s">
        <v>9</v>
      </c>
      <c r="B1135" t="s">
        <v>102</v>
      </c>
      <c r="C1135" s="8">
        <v>46117</v>
      </c>
      <c r="D1135" s="9">
        <v>34495</v>
      </c>
    </row>
    <row r="1136" spans="1:4">
      <c r="A1136" t="s">
        <v>5</v>
      </c>
      <c r="B1136" t="s">
        <v>167</v>
      </c>
      <c r="C1136" s="8">
        <v>46117</v>
      </c>
      <c r="D1136" s="9">
        <v>40331</v>
      </c>
    </row>
    <row r="1137" spans="1:4">
      <c r="A1137" t="s">
        <v>27</v>
      </c>
      <c r="B1137" t="s">
        <v>270</v>
      </c>
      <c r="C1137" s="8">
        <v>46118</v>
      </c>
      <c r="D1137" s="9">
        <v>15731</v>
      </c>
    </row>
    <row r="1138" spans="1:4">
      <c r="A1138" t="s">
        <v>27</v>
      </c>
      <c r="B1138" t="s">
        <v>237</v>
      </c>
      <c r="C1138" s="8">
        <v>46118</v>
      </c>
      <c r="D1138" s="9">
        <v>5200</v>
      </c>
    </row>
    <row r="1139" spans="1:4">
      <c r="A1139" t="s">
        <v>27</v>
      </c>
      <c r="B1139" t="s">
        <v>265</v>
      </c>
      <c r="C1139" s="8">
        <v>46118</v>
      </c>
      <c r="D1139" s="9">
        <v>12150</v>
      </c>
    </row>
    <row r="1140" spans="1:4">
      <c r="A1140" t="s">
        <v>4</v>
      </c>
      <c r="B1140" t="s">
        <v>192</v>
      </c>
      <c r="C1140" s="8">
        <v>46118</v>
      </c>
      <c r="D1140" s="9">
        <v>24804</v>
      </c>
    </row>
    <row r="1141" spans="1:4">
      <c r="A1141" t="s">
        <v>8</v>
      </c>
      <c r="B1141" t="s">
        <v>170</v>
      </c>
      <c r="C1141" s="8">
        <v>46118</v>
      </c>
      <c r="D1141" s="9">
        <v>22901</v>
      </c>
    </row>
    <row r="1142" spans="1:4">
      <c r="A1142" t="s">
        <v>9</v>
      </c>
      <c r="B1142" t="s">
        <v>137</v>
      </c>
      <c r="C1142" s="8">
        <v>46118</v>
      </c>
      <c r="D1142" s="9">
        <v>27191</v>
      </c>
    </row>
    <row r="1143" spans="1:4">
      <c r="A1143" t="s">
        <v>5</v>
      </c>
      <c r="B1143" t="s">
        <v>197</v>
      </c>
      <c r="C1143" s="8">
        <v>46118</v>
      </c>
      <c r="D1143" s="9">
        <v>39569</v>
      </c>
    </row>
    <row r="1144" spans="1:4">
      <c r="A1144" t="s">
        <v>5</v>
      </c>
      <c r="B1144" t="s">
        <v>139</v>
      </c>
      <c r="C1144" s="8">
        <v>46118</v>
      </c>
      <c r="D1144" s="9">
        <v>55467</v>
      </c>
    </row>
    <row r="1145" spans="1:4">
      <c r="A1145" t="s">
        <v>4</v>
      </c>
      <c r="B1145" t="s">
        <v>161</v>
      </c>
      <c r="C1145" s="8">
        <v>46119</v>
      </c>
      <c r="D1145" s="9">
        <v>38378</v>
      </c>
    </row>
    <row r="1146" spans="1:4">
      <c r="A1146" t="s">
        <v>4</v>
      </c>
      <c r="B1146" t="s">
        <v>188</v>
      </c>
      <c r="C1146" s="8">
        <v>46119</v>
      </c>
      <c r="D1146" s="9">
        <v>50502</v>
      </c>
    </row>
    <row r="1147" spans="1:4">
      <c r="A1147" t="s">
        <v>25</v>
      </c>
      <c r="B1147" t="s">
        <v>153</v>
      </c>
      <c r="C1147" s="8">
        <v>46119</v>
      </c>
      <c r="D1147" s="9">
        <v>30229</v>
      </c>
    </row>
    <row r="1148" spans="1:4">
      <c r="A1148" t="s">
        <v>8</v>
      </c>
      <c r="B1148" t="s">
        <v>143</v>
      </c>
      <c r="C1148" s="8">
        <v>46119</v>
      </c>
      <c r="D1148" s="9">
        <v>26331</v>
      </c>
    </row>
    <row r="1149" spans="1:4">
      <c r="A1149" t="s">
        <v>9</v>
      </c>
      <c r="B1149" t="s">
        <v>249</v>
      </c>
      <c r="C1149" s="8">
        <v>46119</v>
      </c>
      <c r="D1149" s="9">
        <v>28035</v>
      </c>
    </row>
    <row r="1150" spans="1:4">
      <c r="A1150" t="s">
        <v>5</v>
      </c>
      <c r="B1150" t="s">
        <v>115</v>
      </c>
      <c r="C1150" s="8">
        <v>46119</v>
      </c>
      <c r="D1150" s="9">
        <v>27896</v>
      </c>
    </row>
    <row r="1151" spans="1:4">
      <c r="A1151" t="s">
        <v>5</v>
      </c>
      <c r="B1151" t="s">
        <v>93</v>
      </c>
      <c r="C1151" s="8">
        <v>46119</v>
      </c>
      <c r="D1151" s="9">
        <v>39207</v>
      </c>
    </row>
    <row r="1152" spans="1:4">
      <c r="A1152" t="s">
        <v>5</v>
      </c>
      <c r="B1152" t="s">
        <v>132</v>
      </c>
      <c r="C1152" s="8">
        <v>46119</v>
      </c>
      <c r="D1152" s="9">
        <v>38851</v>
      </c>
    </row>
    <row r="1153" spans="1:4">
      <c r="A1153" t="s">
        <v>5</v>
      </c>
      <c r="B1153" t="s">
        <v>81</v>
      </c>
      <c r="C1153" s="8">
        <v>46119</v>
      </c>
      <c r="D1153" s="9">
        <v>44768</v>
      </c>
    </row>
    <row r="1154" spans="1:4">
      <c r="A1154" t="s">
        <v>6</v>
      </c>
      <c r="B1154" t="s">
        <v>234</v>
      </c>
      <c r="C1154" s="8">
        <v>46120</v>
      </c>
      <c r="D1154" s="9">
        <v>22900</v>
      </c>
    </row>
    <row r="1155" spans="1:4">
      <c r="A1155" t="s">
        <v>7</v>
      </c>
      <c r="B1155" t="s">
        <v>151</v>
      </c>
      <c r="C1155" s="8">
        <v>46120</v>
      </c>
      <c r="D1155" s="9">
        <v>45807</v>
      </c>
    </row>
    <row r="1156" spans="1:4">
      <c r="A1156" t="s">
        <v>9</v>
      </c>
      <c r="B1156" t="s">
        <v>258</v>
      </c>
      <c r="C1156" s="8">
        <v>46120</v>
      </c>
      <c r="D1156" s="9">
        <v>30178</v>
      </c>
    </row>
    <row r="1157" spans="1:4">
      <c r="A1157" t="s">
        <v>9</v>
      </c>
      <c r="B1157" t="s">
        <v>48</v>
      </c>
      <c r="C1157" s="8">
        <v>46120</v>
      </c>
      <c r="D1157" s="9">
        <v>37617</v>
      </c>
    </row>
    <row r="1158" spans="1:4">
      <c r="A1158" t="s">
        <v>5</v>
      </c>
      <c r="B1158" t="s">
        <v>221</v>
      </c>
      <c r="C1158" s="8">
        <v>46120</v>
      </c>
      <c r="D1158" s="9">
        <v>37335</v>
      </c>
    </row>
    <row r="1159" spans="1:4">
      <c r="A1159" t="s">
        <v>5</v>
      </c>
      <c r="B1159" t="s">
        <v>184</v>
      </c>
      <c r="C1159" s="8">
        <v>46120</v>
      </c>
      <c r="D1159" s="9">
        <v>48593</v>
      </c>
    </row>
    <row r="1160" spans="1:4">
      <c r="A1160" t="s">
        <v>5</v>
      </c>
      <c r="B1160" t="s">
        <v>93</v>
      </c>
      <c r="C1160" s="8">
        <v>46120</v>
      </c>
      <c r="D1160" s="9">
        <v>35889</v>
      </c>
    </row>
    <row r="1161" spans="1:4">
      <c r="A1161" t="s">
        <v>5</v>
      </c>
      <c r="B1161" t="s">
        <v>117</v>
      </c>
      <c r="C1161" s="8">
        <v>46120</v>
      </c>
      <c r="D1161" s="9">
        <v>31079</v>
      </c>
    </row>
    <row r="1162" spans="1:4">
      <c r="A1162" t="s">
        <v>5</v>
      </c>
      <c r="B1162" t="s">
        <v>183</v>
      </c>
      <c r="C1162" s="8">
        <v>46120</v>
      </c>
      <c r="D1162" s="9">
        <v>41600</v>
      </c>
    </row>
    <row r="1163" spans="1:4">
      <c r="A1163" t="s">
        <v>5</v>
      </c>
      <c r="B1163" t="s">
        <v>53</v>
      </c>
      <c r="C1163" s="8">
        <v>46120</v>
      </c>
      <c r="D1163" s="9">
        <v>38310</v>
      </c>
    </row>
    <row r="1164" spans="1:4">
      <c r="A1164" t="s">
        <v>4</v>
      </c>
      <c r="B1164" t="s">
        <v>119</v>
      </c>
      <c r="C1164" s="8">
        <v>46121</v>
      </c>
      <c r="D1164" s="9">
        <v>41262</v>
      </c>
    </row>
    <row r="1165" spans="1:4">
      <c r="A1165" t="s">
        <v>26</v>
      </c>
      <c r="B1165" t="s">
        <v>83</v>
      </c>
      <c r="C1165" s="8">
        <v>46121</v>
      </c>
      <c r="D1165" s="9">
        <v>18277</v>
      </c>
    </row>
    <row r="1166" spans="1:4">
      <c r="A1166" t="s">
        <v>6</v>
      </c>
      <c r="B1166" t="s">
        <v>216</v>
      </c>
      <c r="C1166" s="8">
        <v>46121</v>
      </c>
      <c r="D1166" s="9">
        <v>33459</v>
      </c>
    </row>
    <row r="1167" spans="1:4">
      <c r="A1167" t="s">
        <v>29</v>
      </c>
      <c r="B1167" t="s">
        <v>274</v>
      </c>
      <c r="C1167" s="8">
        <v>46121</v>
      </c>
      <c r="D1167" s="9">
        <v>12025</v>
      </c>
    </row>
    <row r="1168" spans="1:4">
      <c r="A1168" t="s">
        <v>7</v>
      </c>
      <c r="B1168" t="s">
        <v>79</v>
      </c>
      <c r="C1168" s="8">
        <v>46121</v>
      </c>
      <c r="D1168" s="9">
        <v>47586</v>
      </c>
    </row>
    <row r="1169" spans="1:4">
      <c r="A1169" t="s">
        <v>9</v>
      </c>
      <c r="B1169" t="s">
        <v>173</v>
      </c>
      <c r="C1169" s="8">
        <v>46121</v>
      </c>
      <c r="D1169" s="9">
        <v>14260</v>
      </c>
    </row>
    <row r="1170" spans="1:4">
      <c r="A1170" t="s">
        <v>9</v>
      </c>
      <c r="B1170" t="s">
        <v>78</v>
      </c>
      <c r="C1170" s="8">
        <v>46121</v>
      </c>
      <c r="D1170" s="9">
        <v>35308</v>
      </c>
    </row>
    <row r="1171" spans="1:4">
      <c r="A1171" t="s">
        <v>9</v>
      </c>
      <c r="B1171" t="s">
        <v>150</v>
      </c>
      <c r="C1171" s="8">
        <v>46121</v>
      </c>
      <c r="D1171" s="9">
        <v>28638</v>
      </c>
    </row>
    <row r="1172" spans="1:4">
      <c r="A1172" t="s">
        <v>5</v>
      </c>
      <c r="B1172" t="s">
        <v>103</v>
      </c>
      <c r="C1172" s="8">
        <v>46121</v>
      </c>
      <c r="D1172" s="9">
        <v>38130</v>
      </c>
    </row>
    <row r="1173" spans="1:4">
      <c r="A1173" t="s">
        <v>29</v>
      </c>
      <c r="B1173" t="s">
        <v>64</v>
      </c>
      <c r="C1173" s="8">
        <v>46122</v>
      </c>
      <c r="D1173" s="9">
        <v>19242</v>
      </c>
    </row>
    <row r="1174" spans="1:4">
      <c r="A1174" t="s">
        <v>29</v>
      </c>
      <c r="B1174" t="s">
        <v>218</v>
      </c>
      <c r="C1174" s="8">
        <v>46122</v>
      </c>
      <c r="D1174" s="9">
        <v>14687</v>
      </c>
    </row>
    <row r="1175" spans="1:4">
      <c r="A1175" t="s">
        <v>7</v>
      </c>
      <c r="B1175" t="s">
        <v>70</v>
      </c>
      <c r="C1175" s="8">
        <v>46122</v>
      </c>
      <c r="D1175" s="9">
        <v>26989</v>
      </c>
    </row>
    <row r="1176" spans="1:4">
      <c r="A1176" t="s">
        <v>5</v>
      </c>
      <c r="B1176" t="s">
        <v>138</v>
      </c>
      <c r="C1176" s="8">
        <v>46122</v>
      </c>
      <c r="D1176" s="9">
        <v>37339</v>
      </c>
    </row>
    <row r="1177" spans="1:4">
      <c r="A1177" t="s">
        <v>5</v>
      </c>
      <c r="B1177" t="s">
        <v>94</v>
      </c>
      <c r="C1177" s="8">
        <v>46122</v>
      </c>
      <c r="D1177" s="9">
        <v>41559</v>
      </c>
    </row>
    <row r="1178" spans="1:4">
      <c r="A1178" t="s">
        <v>5</v>
      </c>
      <c r="B1178" t="s">
        <v>104</v>
      </c>
      <c r="C1178" s="8">
        <v>46122</v>
      </c>
      <c r="D1178" s="9">
        <v>50975</v>
      </c>
    </row>
    <row r="1179" spans="1:4">
      <c r="A1179" t="s">
        <v>5</v>
      </c>
      <c r="B1179" t="s">
        <v>117</v>
      </c>
      <c r="C1179" s="8">
        <v>46122</v>
      </c>
      <c r="D1179" s="9">
        <v>35751</v>
      </c>
    </row>
    <row r="1180" spans="1:4">
      <c r="A1180" t="s">
        <v>5</v>
      </c>
      <c r="B1180" t="s">
        <v>95</v>
      </c>
      <c r="C1180" s="8">
        <v>46122</v>
      </c>
      <c r="D1180" s="9">
        <v>43225</v>
      </c>
    </row>
    <row r="1181" spans="1:4">
      <c r="A1181" t="s">
        <v>5</v>
      </c>
      <c r="B1181" t="s">
        <v>190</v>
      </c>
      <c r="C1181" s="8">
        <v>46122</v>
      </c>
      <c r="D1181" s="9">
        <v>40067</v>
      </c>
    </row>
    <row r="1182" spans="1:4">
      <c r="A1182" t="s">
        <v>5</v>
      </c>
      <c r="B1182" t="s">
        <v>146</v>
      </c>
      <c r="C1182" s="8">
        <v>46122</v>
      </c>
      <c r="D1182" s="9">
        <v>52621</v>
      </c>
    </row>
    <row r="1183" spans="1:4">
      <c r="A1183" t="s">
        <v>5</v>
      </c>
      <c r="B1183" t="s">
        <v>146</v>
      </c>
      <c r="C1183" s="8">
        <v>46122</v>
      </c>
      <c r="D1183" s="9">
        <v>43738</v>
      </c>
    </row>
    <row r="1184" spans="1:4">
      <c r="A1184" t="s">
        <v>5</v>
      </c>
      <c r="B1184" t="s">
        <v>125</v>
      </c>
      <c r="C1184" s="8">
        <v>46122</v>
      </c>
      <c r="D1184" s="9">
        <v>45000</v>
      </c>
    </row>
    <row r="1185" spans="1:4">
      <c r="A1185" t="s">
        <v>4</v>
      </c>
      <c r="B1185" t="s">
        <v>271</v>
      </c>
      <c r="C1185" s="8">
        <v>46123</v>
      </c>
      <c r="D1185" s="9">
        <v>8432</v>
      </c>
    </row>
    <row r="1186" spans="1:4">
      <c r="A1186" t="s">
        <v>31</v>
      </c>
      <c r="B1186" t="s">
        <v>99</v>
      </c>
      <c r="C1186" s="8">
        <v>46123</v>
      </c>
      <c r="D1186" s="9">
        <v>12606</v>
      </c>
    </row>
    <row r="1187" spans="1:4">
      <c r="A1187" t="s">
        <v>25</v>
      </c>
      <c r="B1187" t="s">
        <v>175</v>
      </c>
      <c r="C1187" s="8">
        <v>46123</v>
      </c>
      <c r="D1187" s="9">
        <v>19144</v>
      </c>
    </row>
    <row r="1188" spans="1:4">
      <c r="A1188" t="s">
        <v>28</v>
      </c>
      <c r="B1188" t="s">
        <v>152</v>
      </c>
      <c r="C1188" s="8">
        <v>46123</v>
      </c>
      <c r="D1188" s="9">
        <v>18924</v>
      </c>
    </row>
    <row r="1189" spans="1:4">
      <c r="A1189" t="s">
        <v>30</v>
      </c>
      <c r="B1189" t="s">
        <v>157</v>
      </c>
      <c r="C1189" s="8">
        <v>46123</v>
      </c>
      <c r="D1189" s="9">
        <v>15780</v>
      </c>
    </row>
    <row r="1190" spans="1:4">
      <c r="A1190" t="s">
        <v>8</v>
      </c>
      <c r="B1190" t="s">
        <v>199</v>
      </c>
      <c r="C1190" s="8">
        <v>46123</v>
      </c>
      <c r="D1190" s="9">
        <v>20574</v>
      </c>
    </row>
    <row r="1191" spans="1:4">
      <c r="A1191" t="s">
        <v>32</v>
      </c>
      <c r="B1191" t="s">
        <v>233</v>
      </c>
      <c r="C1191" s="8">
        <v>46123</v>
      </c>
      <c r="D1191" s="9">
        <v>25267</v>
      </c>
    </row>
    <row r="1192" spans="1:4">
      <c r="A1192" t="s">
        <v>6</v>
      </c>
      <c r="B1192" t="s">
        <v>180</v>
      </c>
      <c r="C1192" s="8">
        <v>46123</v>
      </c>
      <c r="D1192" s="9">
        <v>27551</v>
      </c>
    </row>
    <row r="1193" spans="1:4">
      <c r="A1193" t="s">
        <v>6</v>
      </c>
      <c r="B1193" t="s">
        <v>73</v>
      </c>
      <c r="C1193" s="8">
        <v>46123</v>
      </c>
      <c r="D1193" s="9">
        <v>33470</v>
      </c>
    </row>
    <row r="1194" spans="1:4">
      <c r="A1194" t="s">
        <v>9</v>
      </c>
      <c r="B1194" t="s">
        <v>50</v>
      </c>
      <c r="C1194" s="8">
        <v>46123</v>
      </c>
      <c r="D1194" s="9">
        <v>38906</v>
      </c>
    </row>
    <row r="1195" spans="1:4">
      <c r="A1195" t="s">
        <v>9</v>
      </c>
      <c r="B1195" t="s">
        <v>238</v>
      </c>
      <c r="C1195" s="8">
        <v>46123</v>
      </c>
      <c r="D1195" s="9">
        <v>32304</v>
      </c>
    </row>
    <row r="1196" spans="1:4">
      <c r="A1196" t="s">
        <v>5</v>
      </c>
      <c r="B1196" t="s">
        <v>110</v>
      </c>
      <c r="C1196" s="8">
        <v>46123</v>
      </c>
      <c r="D1196" s="9">
        <v>45764</v>
      </c>
    </row>
    <row r="1197" spans="1:4">
      <c r="A1197" t="s">
        <v>5</v>
      </c>
      <c r="B1197" t="s">
        <v>132</v>
      </c>
      <c r="C1197" s="8">
        <v>46123</v>
      </c>
      <c r="D1197" s="9">
        <v>27925</v>
      </c>
    </row>
    <row r="1198" spans="1:4">
      <c r="A1198" t="s">
        <v>5</v>
      </c>
      <c r="B1198" t="s">
        <v>243</v>
      </c>
      <c r="C1198" s="8">
        <v>46123</v>
      </c>
      <c r="D1198" s="9">
        <v>35232</v>
      </c>
    </row>
    <row r="1199" spans="1:4">
      <c r="A1199" t="s">
        <v>5</v>
      </c>
      <c r="B1199" t="s">
        <v>141</v>
      </c>
      <c r="C1199" s="8">
        <v>46123</v>
      </c>
      <c r="D1199" s="9">
        <v>33216</v>
      </c>
    </row>
    <row r="1200" spans="1:4">
      <c r="A1200" t="s">
        <v>35</v>
      </c>
      <c r="B1200" t="s">
        <v>58</v>
      </c>
      <c r="C1200" s="8">
        <v>46124</v>
      </c>
      <c r="D1200" s="9">
        <v>12341</v>
      </c>
    </row>
    <row r="1201" spans="1:4">
      <c r="A1201" t="s">
        <v>26</v>
      </c>
      <c r="B1201" t="s">
        <v>239</v>
      </c>
      <c r="C1201" s="8">
        <v>46124</v>
      </c>
      <c r="D1201" s="9">
        <v>24994</v>
      </c>
    </row>
    <row r="1202" spans="1:4">
      <c r="A1202" t="s">
        <v>26</v>
      </c>
      <c r="B1202" t="s">
        <v>67</v>
      </c>
      <c r="C1202" s="8">
        <v>46124</v>
      </c>
      <c r="D1202" s="9">
        <v>16321</v>
      </c>
    </row>
    <row r="1203" spans="1:4">
      <c r="A1203" t="s">
        <v>33</v>
      </c>
      <c r="B1203" t="s">
        <v>128</v>
      </c>
      <c r="C1203" s="8">
        <v>46124</v>
      </c>
      <c r="D1203" s="9">
        <v>10751</v>
      </c>
    </row>
    <row r="1204" spans="1:4">
      <c r="A1204" t="s">
        <v>33</v>
      </c>
      <c r="B1204" t="s">
        <v>253</v>
      </c>
      <c r="C1204" s="8">
        <v>46124</v>
      </c>
      <c r="D1204" s="9">
        <v>16886</v>
      </c>
    </row>
    <row r="1205" spans="1:4">
      <c r="A1205" t="s">
        <v>7</v>
      </c>
      <c r="B1205" t="s">
        <v>47</v>
      </c>
      <c r="C1205" s="8">
        <v>46124</v>
      </c>
      <c r="D1205" s="9">
        <v>20088</v>
      </c>
    </row>
    <row r="1206" spans="1:4">
      <c r="A1206" t="s">
        <v>9</v>
      </c>
      <c r="B1206" t="s">
        <v>91</v>
      </c>
      <c r="C1206" s="8">
        <v>46124</v>
      </c>
      <c r="D1206" s="9">
        <v>48194</v>
      </c>
    </row>
    <row r="1207" spans="1:4">
      <c r="A1207" t="s">
        <v>9</v>
      </c>
      <c r="B1207" t="s">
        <v>227</v>
      </c>
      <c r="C1207" s="8">
        <v>46124</v>
      </c>
      <c r="D1207" s="9">
        <v>28774</v>
      </c>
    </row>
    <row r="1208" spans="1:4">
      <c r="A1208" t="s">
        <v>9</v>
      </c>
      <c r="B1208" t="s">
        <v>136</v>
      </c>
      <c r="C1208" s="8">
        <v>46124</v>
      </c>
      <c r="D1208" s="9">
        <v>23183</v>
      </c>
    </row>
    <row r="1209" spans="1:4">
      <c r="A1209" t="s">
        <v>9</v>
      </c>
      <c r="B1209" t="s">
        <v>130</v>
      </c>
      <c r="C1209" s="8">
        <v>46124</v>
      </c>
      <c r="D1209" s="9">
        <v>45218</v>
      </c>
    </row>
    <row r="1210" spans="1:4">
      <c r="A1210" t="s">
        <v>9</v>
      </c>
      <c r="B1210" t="s">
        <v>92</v>
      </c>
      <c r="C1210" s="8">
        <v>46124</v>
      </c>
      <c r="D1210" s="9">
        <v>36809</v>
      </c>
    </row>
    <row r="1211" spans="1:4">
      <c r="A1211" t="s">
        <v>5</v>
      </c>
      <c r="B1211" t="s">
        <v>182</v>
      </c>
      <c r="C1211" s="8">
        <v>46124</v>
      </c>
      <c r="D1211" s="9">
        <v>42685</v>
      </c>
    </row>
    <row r="1212" spans="1:4">
      <c r="A1212" t="s">
        <v>5</v>
      </c>
      <c r="B1212" t="s">
        <v>209</v>
      </c>
      <c r="C1212" s="8">
        <v>46124</v>
      </c>
      <c r="D1212" s="9">
        <v>52867</v>
      </c>
    </row>
    <row r="1213" spans="1:4">
      <c r="A1213" t="s">
        <v>5</v>
      </c>
      <c r="B1213" t="s">
        <v>53</v>
      </c>
      <c r="C1213" s="8">
        <v>46124</v>
      </c>
      <c r="D1213" s="9">
        <v>62171</v>
      </c>
    </row>
    <row r="1214" spans="1:4">
      <c r="A1214" t="s">
        <v>5</v>
      </c>
      <c r="B1214" t="s">
        <v>174</v>
      </c>
      <c r="C1214" s="8">
        <v>46124</v>
      </c>
      <c r="D1214" s="9">
        <v>34876</v>
      </c>
    </row>
    <row r="1215" spans="1:4">
      <c r="A1215" t="s">
        <v>5</v>
      </c>
      <c r="B1215" t="s">
        <v>125</v>
      </c>
      <c r="C1215" s="8">
        <v>46124</v>
      </c>
      <c r="D1215" s="9">
        <v>40869</v>
      </c>
    </row>
    <row r="1216" spans="1:4">
      <c r="A1216" t="s">
        <v>5</v>
      </c>
      <c r="B1216" t="s">
        <v>205</v>
      </c>
      <c r="C1216" s="8">
        <v>46124</v>
      </c>
      <c r="D1216" s="9">
        <v>41064</v>
      </c>
    </row>
    <row r="1217" spans="1:4">
      <c r="A1217" t="s">
        <v>27</v>
      </c>
      <c r="B1217" t="s">
        <v>259</v>
      </c>
      <c r="C1217" s="8">
        <v>46125</v>
      </c>
      <c r="D1217" s="9">
        <v>12830</v>
      </c>
    </row>
    <row r="1218" spans="1:4">
      <c r="A1218" t="s">
        <v>4</v>
      </c>
      <c r="B1218" t="s">
        <v>212</v>
      </c>
      <c r="C1218" s="8">
        <v>46125</v>
      </c>
      <c r="D1218" s="9">
        <v>34897</v>
      </c>
    </row>
    <row r="1219" spans="1:4">
      <c r="A1219" t="s">
        <v>4</v>
      </c>
      <c r="B1219" t="s">
        <v>283</v>
      </c>
      <c r="C1219" s="8">
        <v>46125</v>
      </c>
      <c r="D1219" s="9">
        <v>37399</v>
      </c>
    </row>
    <row r="1220" spans="1:4">
      <c r="A1220" t="s">
        <v>28</v>
      </c>
      <c r="B1220" t="s">
        <v>121</v>
      </c>
      <c r="C1220" s="8">
        <v>46125</v>
      </c>
      <c r="D1220" s="9">
        <v>5200</v>
      </c>
    </row>
    <row r="1221" spans="1:4">
      <c r="A1221" t="s">
        <v>26</v>
      </c>
      <c r="B1221" t="s">
        <v>281</v>
      </c>
      <c r="C1221" s="8">
        <v>46125</v>
      </c>
      <c r="D1221" s="9">
        <v>13029</v>
      </c>
    </row>
    <row r="1222" spans="1:4">
      <c r="A1222" t="s">
        <v>8</v>
      </c>
      <c r="B1222" t="s">
        <v>245</v>
      </c>
      <c r="C1222" s="8">
        <v>46125</v>
      </c>
      <c r="D1222" s="9">
        <v>18305</v>
      </c>
    </row>
    <row r="1223" spans="1:4">
      <c r="A1223" t="s">
        <v>6</v>
      </c>
      <c r="B1223" t="s">
        <v>220</v>
      </c>
      <c r="C1223" s="8">
        <v>46125</v>
      </c>
      <c r="D1223" s="9">
        <v>24301</v>
      </c>
    </row>
    <row r="1224" spans="1:4">
      <c r="A1224" t="s">
        <v>9</v>
      </c>
      <c r="B1224" t="s">
        <v>65</v>
      </c>
      <c r="C1224" s="8">
        <v>46125</v>
      </c>
      <c r="D1224" s="9">
        <v>44014</v>
      </c>
    </row>
    <row r="1225" spans="1:4">
      <c r="A1225" t="s">
        <v>9</v>
      </c>
      <c r="B1225" t="s">
        <v>172</v>
      </c>
      <c r="C1225" s="8">
        <v>46125</v>
      </c>
      <c r="D1225" s="9">
        <v>38164</v>
      </c>
    </row>
    <row r="1226" spans="1:4">
      <c r="A1226" t="s">
        <v>9</v>
      </c>
      <c r="B1226" t="s">
        <v>258</v>
      </c>
      <c r="C1226" s="8">
        <v>46125</v>
      </c>
      <c r="D1226" s="9">
        <v>30628</v>
      </c>
    </row>
    <row r="1227" spans="1:4">
      <c r="A1227" t="s">
        <v>5</v>
      </c>
      <c r="B1227" t="s">
        <v>115</v>
      </c>
      <c r="C1227" s="8">
        <v>46125</v>
      </c>
      <c r="D1227" s="9">
        <v>41232</v>
      </c>
    </row>
    <row r="1228" spans="1:4">
      <c r="A1228" t="s">
        <v>5</v>
      </c>
      <c r="B1228" t="s">
        <v>242</v>
      </c>
      <c r="C1228" s="8">
        <v>46125</v>
      </c>
      <c r="D1228" s="9">
        <v>44818</v>
      </c>
    </row>
    <row r="1229" spans="1:4">
      <c r="A1229" t="s">
        <v>5</v>
      </c>
      <c r="B1229" t="s">
        <v>196</v>
      </c>
      <c r="C1229" s="8">
        <v>46125</v>
      </c>
      <c r="D1229" s="9">
        <v>59043</v>
      </c>
    </row>
    <row r="1230" spans="1:4">
      <c r="A1230" t="s">
        <v>5</v>
      </c>
      <c r="B1230" t="s">
        <v>183</v>
      </c>
      <c r="C1230" s="8">
        <v>46125</v>
      </c>
      <c r="D1230" s="9">
        <v>37004</v>
      </c>
    </row>
    <row r="1231" spans="1:4">
      <c r="A1231" t="s">
        <v>4</v>
      </c>
      <c r="B1231" t="s">
        <v>229</v>
      </c>
      <c r="C1231" s="8">
        <v>46126</v>
      </c>
      <c r="D1231" s="9">
        <v>31834</v>
      </c>
    </row>
    <row r="1232" spans="1:4">
      <c r="A1232" t="s">
        <v>4</v>
      </c>
      <c r="B1232" t="s">
        <v>62</v>
      </c>
      <c r="C1232" s="8">
        <v>46126</v>
      </c>
      <c r="D1232" s="9">
        <v>49053</v>
      </c>
    </row>
    <row r="1233" spans="1:4">
      <c r="A1233" t="s">
        <v>26</v>
      </c>
      <c r="B1233" t="s">
        <v>179</v>
      </c>
      <c r="C1233" s="8">
        <v>46126</v>
      </c>
      <c r="D1233" s="9">
        <v>14143</v>
      </c>
    </row>
    <row r="1234" spans="1:4">
      <c r="A1234" t="s">
        <v>6</v>
      </c>
      <c r="B1234" t="s">
        <v>186</v>
      </c>
      <c r="C1234" s="8">
        <v>46126</v>
      </c>
      <c r="D1234" s="9">
        <v>19461</v>
      </c>
    </row>
    <row r="1235" spans="1:4">
      <c r="A1235" t="s">
        <v>7</v>
      </c>
      <c r="B1235" t="s">
        <v>100</v>
      </c>
      <c r="C1235" s="8">
        <v>46126</v>
      </c>
      <c r="D1235" s="9">
        <v>27592</v>
      </c>
    </row>
    <row r="1236" spans="1:4">
      <c r="A1236" t="s">
        <v>9</v>
      </c>
      <c r="B1236" t="s">
        <v>129</v>
      </c>
      <c r="C1236" s="8">
        <v>46126</v>
      </c>
      <c r="D1236" s="9">
        <v>40029</v>
      </c>
    </row>
    <row r="1237" spans="1:4">
      <c r="A1237" t="s">
        <v>9</v>
      </c>
      <c r="B1237" t="s">
        <v>228</v>
      </c>
      <c r="C1237" s="8">
        <v>46126</v>
      </c>
      <c r="D1237" s="9">
        <v>31306</v>
      </c>
    </row>
    <row r="1238" spans="1:4">
      <c r="A1238" t="s">
        <v>5</v>
      </c>
      <c r="B1238" t="s">
        <v>95</v>
      </c>
      <c r="C1238" s="8">
        <v>46126</v>
      </c>
      <c r="D1238" s="9">
        <v>41806</v>
      </c>
    </row>
    <row r="1239" spans="1:4">
      <c r="A1239" t="s">
        <v>5</v>
      </c>
      <c r="B1239" t="s">
        <v>168</v>
      </c>
      <c r="C1239" s="8">
        <v>46126</v>
      </c>
      <c r="D1239" s="9">
        <v>40648</v>
      </c>
    </row>
    <row r="1240" spans="1:4">
      <c r="A1240" t="s">
        <v>4</v>
      </c>
      <c r="B1240" t="s">
        <v>84</v>
      </c>
      <c r="C1240" s="8">
        <v>46127</v>
      </c>
      <c r="D1240" s="9">
        <v>31084</v>
      </c>
    </row>
    <row r="1241" spans="1:4">
      <c r="A1241" t="s">
        <v>26</v>
      </c>
      <c r="B1241" t="s">
        <v>256</v>
      </c>
      <c r="C1241" s="8">
        <v>46127</v>
      </c>
      <c r="D1241" s="9">
        <v>30799</v>
      </c>
    </row>
    <row r="1242" spans="1:4">
      <c r="A1242" t="s">
        <v>8</v>
      </c>
      <c r="B1242" t="s">
        <v>123</v>
      </c>
      <c r="C1242" s="8">
        <v>46127</v>
      </c>
      <c r="D1242" s="9">
        <v>24198</v>
      </c>
    </row>
    <row r="1243" spans="1:4">
      <c r="A1243" t="s">
        <v>6</v>
      </c>
      <c r="B1243" t="s">
        <v>247</v>
      </c>
      <c r="C1243" s="8">
        <v>46127</v>
      </c>
      <c r="D1243" s="9">
        <v>26055</v>
      </c>
    </row>
    <row r="1244" spans="1:4">
      <c r="A1244" t="s">
        <v>29</v>
      </c>
      <c r="B1244" t="s">
        <v>59</v>
      </c>
      <c r="C1244" s="8">
        <v>46127</v>
      </c>
      <c r="D1244" s="9">
        <v>15112</v>
      </c>
    </row>
    <row r="1245" spans="1:4">
      <c r="A1245" t="s">
        <v>7</v>
      </c>
      <c r="B1245" t="s">
        <v>282</v>
      </c>
      <c r="C1245" s="8">
        <v>46127</v>
      </c>
      <c r="D1245" s="9">
        <v>28019</v>
      </c>
    </row>
    <row r="1246" spans="1:4">
      <c r="A1246" t="s">
        <v>9</v>
      </c>
      <c r="B1246" t="s">
        <v>144</v>
      </c>
      <c r="C1246" s="8">
        <v>46127</v>
      </c>
      <c r="D1246" s="9">
        <v>37759</v>
      </c>
    </row>
    <row r="1247" spans="1:4">
      <c r="A1247" t="s">
        <v>9</v>
      </c>
      <c r="B1247" t="s">
        <v>277</v>
      </c>
      <c r="C1247" s="8">
        <v>46127</v>
      </c>
      <c r="D1247" s="9">
        <v>39834</v>
      </c>
    </row>
    <row r="1248" spans="1:4">
      <c r="A1248" t="s">
        <v>9</v>
      </c>
      <c r="B1248" t="s">
        <v>51</v>
      </c>
      <c r="C1248" s="8">
        <v>46127</v>
      </c>
      <c r="D1248" s="9">
        <v>40828</v>
      </c>
    </row>
    <row r="1249" spans="1:4">
      <c r="A1249" t="s">
        <v>9</v>
      </c>
      <c r="B1249" t="s">
        <v>102</v>
      </c>
      <c r="C1249" s="8">
        <v>46127</v>
      </c>
      <c r="D1249" s="9">
        <v>41514</v>
      </c>
    </row>
    <row r="1250" spans="1:4">
      <c r="A1250" t="s">
        <v>5</v>
      </c>
      <c r="B1250" t="s">
        <v>138</v>
      </c>
      <c r="C1250" s="8">
        <v>46127</v>
      </c>
      <c r="D1250" s="9">
        <v>41637</v>
      </c>
    </row>
    <row r="1251" spans="1:4">
      <c r="A1251" t="s">
        <v>5</v>
      </c>
      <c r="B1251" t="s">
        <v>80</v>
      </c>
      <c r="C1251" s="8">
        <v>46127</v>
      </c>
      <c r="D1251" s="9">
        <v>42829</v>
      </c>
    </row>
    <row r="1252" spans="1:4">
      <c r="A1252" t="s">
        <v>5</v>
      </c>
      <c r="B1252" t="s">
        <v>81</v>
      </c>
      <c r="C1252" s="8">
        <v>46127</v>
      </c>
      <c r="D1252" s="9">
        <v>37478</v>
      </c>
    </row>
    <row r="1253" spans="1:4">
      <c r="A1253" t="s">
        <v>4</v>
      </c>
      <c r="B1253" t="s">
        <v>187</v>
      </c>
      <c r="C1253" s="8">
        <v>46128</v>
      </c>
      <c r="D1253" s="9">
        <v>42688</v>
      </c>
    </row>
    <row r="1254" spans="1:4">
      <c r="A1254" t="s">
        <v>25</v>
      </c>
      <c r="B1254" t="s">
        <v>127</v>
      </c>
      <c r="C1254" s="8">
        <v>46128</v>
      </c>
      <c r="D1254" s="9">
        <v>20946</v>
      </c>
    </row>
    <row r="1255" spans="1:4">
      <c r="A1255" t="s">
        <v>26</v>
      </c>
      <c r="B1255" t="s">
        <v>252</v>
      </c>
      <c r="C1255" s="8">
        <v>46128</v>
      </c>
      <c r="D1255" s="9">
        <v>11649</v>
      </c>
    </row>
    <row r="1256" spans="1:4">
      <c r="A1256" t="s">
        <v>8</v>
      </c>
      <c r="B1256" t="s">
        <v>194</v>
      </c>
      <c r="C1256" s="8">
        <v>46128</v>
      </c>
      <c r="D1256" s="9">
        <v>25451</v>
      </c>
    </row>
    <row r="1257" spans="1:4">
      <c r="A1257" t="s">
        <v>6</v>
      </c>
      <c r="B1257" t="s">
        <v>74</v>
      </c>
      <c r="C1257" s="8">
        <v>46128</v>
      </c>
      <c r="D1257" s="9">
        <v>15916</v>
      </c>
    </row>
    <row r="1258" spans="1:4">
      <c r="A1258" t="s">
        <v>6</v>
      </c>
      <c r="B1258" t="s">
        <v>217</v>
      </c>
      <c r="C1258" s="8">
        <v>46128</v>
      </c>
      <c r="D1258" s="9">
        <v>15748</v>
      </c>
    </row>
    <row r="1259" spans="1:4">
      <c r="A1259" t="s">
        <v>7</v>
      </c>
      <c r="B1259" t="s">
        <v>236</v>
      </c>
      <c r="C1259" s="8">
        <v>46128</v>
      </c>
      <c r="D1259" s="9">
        <v>19008</v>
      </c>
    </row>
    <row r="1260" spans="1:4">
      <c r="A1260" t="s">
        <v>9</v>
      </c>
      <c r="B1260" t="s">
        <v>264</v>
      </c>
      <c r="C1260" s="8">
        <v>46128</v>
      </c>
      <c r="D1260" s="9">
        <v>27536</v>
      </c>
    </row>
    <row r="1261" spans="1:4">
      <c r="A1261" t="s">
        <v>9</v>
      </c>
      <c r="B1261" t="s">
        <v>88</v>
      </c>
      <c r="C1261" s="8">
        <v>46128</v>
      </c>
      <c r="D1261" s="9">
        <v>51361</v>
      </c>
    </row>
    <row r="1262" spans="1:4">
      <c r="A1262" t="s">
        <v>9</v>
      </c>
      <c r="B1262" t="s">
        <v>85</v>
      </c>
      <c r="C1262" s="8">
        <v>46128</v>
      </c>
      <c r="D1262" s="9">
        <v>33053</v>
      </c>
    </row>
    <row r="1263" spans="1:4">
      <c r="A1263" t="s">
        <v>5</v>
      </c>
      <c r="B1263" t="s">
        <v>182</v>
      </c>
      <c r="C1263" s="8">
        <v>46128</v>
      </c>
      <c r="D1263" s="9">
        <v>59668</v>
      </c>
    </row>
    <row r="1264" spans="1:4">
      <c r="A1264" t="s">
        <v>5</v>
      </c>
      <c r="B1264" t="s">
        <v>105</v>
      </c>
      <c r="C1264" s="8">
        <v>46128</v>
      </c>
      <c r="D1264" s="9">
        <v>49347</v>
      </c>
    </row>
    <row r="1265" spans="1:4">
      <c r="A1265" t="s">
        <v>5</v>
      </c>
      <c r="B1265" t="s">
        <v>141</v>
      </c>
      <c r="C1265" s="8">
        <v>46128</v>
      </c>
      <c r="D1265" s="9">
        <v>45497</v>
      </c>
    </row>
    <row r="1266" spans="1:4">
      <c r="A1266" t="s">
        <v>4</v>
      </c>
      <c r="B1266" t="s">
        <v>227</v>
      </c>
      <c r="C1266" s="8">
        <v>46129</v>
      </c>
      <c r="D1266" s="9">
        <v>36190</v>
      </c>
    </row>
    <row r="1267" spans="1:4">
      <c r="A1267" t="s">
        <v>4</v>
      </c>
      <c r="B1267" t="s">
        <v>193</v>
      </c>
      <c r="C1267" s="8">
        <v>46129</v>
      </c>
      <c r="D1267" s="9">
        <v>37750</v>
      </c>
    </row>
    <row r="1268" spans="1:4">
      <c r="A1268" t="s">
        <v>25</v>
      </c>
      <c r="B1268" t="s">
        <v>66</v>
      </c>
      <c r="C1268" s="8">
        <v>46129</v>
      </c>
      <c r="D1268" s="9">
        <v>17529</v>
      </c>
    </row>
    <row r="1269" spans="1:4">
      <c r="A1269" t="s">
        <v>26</v>
      </c>
      <c r="B1269" t="s">
        <v>232</v>
      </c>
      <c r="C1269" s="8">
        <v>46129</v>
      </c>
      <c r="D1269" s="9">
        <v>18797</v>
      </c>
    </row>
    <row r="1270" spans="1:4">
      <c r="A1270" t="s">
        <v>30</v>
      </c>
      <c r="B1270" t="s">
        <v>255</v>
      </c>
      <c r="C1270" s="8">
        <v>46129</v>
      </c>
      <c r="D1270" s="9">
        <v>28633</v>
      </c>
    </row>
    <row r="1271" spans="1:4">
      <c r="A1271" t="s">
        <v>8</v>
      </c>
      <c r="B1271" t="s">
        <v>219</v>
      </c>
      <c r="C1271" s="8">
        <v>46129</v>
      </c>
      <c r="D1271" s="9">
        <v>39764</v>
      </c>
    </row>
    <row r="1272" spans="1:4">
      <c r="A1272" t="s">
        <v>29</v>
      </c>
      <c r="B1272" t="s">
        <v>71</v>
      </c>
      <c r="C1272" s="8">
        <v>46129</v>
      </c>
      <c r="D1272" s="9">
        <v>11079</v>
      </c>
    </row>
    <row r="1273" spans="1:4">
      <c r="A1273" t="s">
        <v>7</v>
      </c>
      <c r="B1273" t="s">
        <v>75</v>
      </c>
      <c r="C1273" s="8">
        <v>46129</v>
      </c>
      <c r="D1273" s="9">
        <v>25468</v>
      </c>
    </row>
    <row r="1274" spans="1:4">
      <c r="A1274" t="s">
        <v>7</v>
      </c>
      <c r="B1274" t="s">
        <v>263</v>
      </c>
      <c r="C1274" s="8">
        <v>46129</v>
      </c>
      <c r="D1274" s="9">
        <v>33340</v>
      </c>
    </row>
    <row r="1275" spans="1:4">
      <c r="A1275" t="s">
        <v>7</v>
      </c>
      <c r="B1275" t="s">
        <v>70</v>
      </c>
      <c r="C1275" s="8">
        <v>46129</v>
      </c>
      <c r="D1275" s="9">
        <v>24272</v>
      </c>
    </row>
    <row r="1276" spans="1:4">
      <c r="A1276" t="s">
        <v>7</v>
      </c>
      <c r="B1276" t="s">
        <v>204</v>
      </c>
      <c r="C1276" s="8">
        <v>46129</v>
      </c>
      <c r="D1276" s="9">
        <v>26197</v>
      </c>
    </row>
    <row r="1277" spans="1:4">
      <c r="A1277" t="s">
        <v>7</v>
      </c>
      <c r="B1277" t="s">
        <v>76</v>
      </c>
      <c r="C1277" s="8">
        <v>46129</v>
      </c>
      <c r="D1277" s="9">
        <v>28322</v>
      </c>
    </row>
    <row r="1278" spans="1:4">
      <c r="A1278" t="s">
        <v>5</v>
      </c>
      <c r="B1278" t="s">
        <v>93</v>
      </c>
      <c r="C1278" s="8">
        <v>46129</v>
      </c>
      <c r="D1278" s="9">
        <v>35727</v>
      </c>
    </row>
    <row r="1279" spans="1:4">
      <c r="A1279" t="s">
        <v>5</v>
      </c>
      <c r="B1279" t="s">
        <v>132</v>
      </c>
      <c r="C1279" s="8">
        <v>46129</v>
      </c>
      <c r="D1279" s="9">
        <v>28845</v>
      </c>
    </row>
    <row r="1280" spans="1:4">
      <c r="A1280" t="s">
        <v>5</v>
      </c>
      <c r="B1280" t="s">
        <v>174</v>
      </c>
      <c r="C1280" s="8">
        <v>46129</v>
      </c>
      <c r="D1280" s="9">
        <v>40978</v>
      </c>
    </row>
    <row r="1281" spans="1:4">
      <c r="A1281" t="s">
        <v>4</v>
      </c>
      <c r="B1281" t="s">
        <v>241</v>
      </c>
      <c r="C1281" s="8">
        <v>46130</v>
      </c>
      <c r="D1281" s="9">
        <v>42319</v>
      </c>
    </row>
    <row r="1282" spans="1:4">
      <c r="A1282" t="s">
        <v>4</v>
      </c>
      <c r="B1282" t="s">
        <v>205</v>
      </c>
      <c r="C1282" s="8">
        <v>46130</v>
      </c>
      <c r="D1282" s="9">
        <v>35146</v>
      </c>
    </row>
    <row r="1283" spans="1:4">
      <c r="A1283" t="s">
        <v>28</v>
      </c>
      <c r="B1283" t="s">
        <v>254</v>
      </c>
      <c r="C1283" s="8">
        <v>46130</v>
      </c>
      <c r="D1283" s="9">
        <v>14504</v>
      </c>
    </row>
    <row r="1284" spans="1:4">
      <c r="A1284" t="s">
        <v>26</v>
      </c>
      <c r="B1284" t="s">
        <v>278</v>
      </c>
      <c r="C1284" s="8">
        <v>46130</v>
      </c>
      <c r="D1284" s="9">
        <v>14885</v>
      </c>
    </row>
    <row r="1285" spans="1:4">
      <c r="A1285" t="s">
        <v>29</v>
      </c>
      <c r="B1285" t="s">
        <v>149</v>
      </c>
      <c r="C1285" s="8">
        <v>46130</v>
      </c>
      <c r="D1285" s="9">
        <v>23749</v>
      </c>
    </row>
    <row r="1286" spans="1:4">
      <c r="A1286" t="s">
        <v>9</v>
      </c>
      <c r="B1286" t="s">
        <v>130</v>
      </c>
      <c r="C1286" s="8">
        <v>46130</v>
      </c>
      <c r="D1286" s="9">
        <v>46412</v>
      </c>
    </row>
    <row r="1287" spans="1:4">
      <c r="A1287" t="s">
        <v>9</v>
      </c>
      <c r="B1287" t="s">
        <v>78</v>
      </c>
      <c r="C1287" s="8">
        <v>46130</v>
      </c>
      <c r="D1287" s="9">
        <v>32889</v>
      </c>
    </row>
    <row r="1288" spans="1:4">
      <c r="A1288" t="s">
        <v>5</v>
      </c>
      <c r="B1288" t="s">
        <v>190</v>
      </c>
      <c r="C1288" s="8">
        <v>46130</v>
      </c>
      <c r="D1288" s="9">
        <v>28290</v>
      </c>
    </row>
    <row r="1289" spans="1:4">
      <c r="A1289" t="s">
        <v>5</v>
      </c>
      <c r="B1289" t="s">
        <v>105</v>
      </c>
      <c r="C1289" s="8">
        <v>46130</v>
      </c>
      <c r="D1289" s="9">
        <v>55067</v>
      </c>
    </row>
    <row r="1290" spans="1:4">
      <c r="A1290" t="s">
        <v>4</v>
      </c>
      <c r="B1290" t="s">
        <v>201</v>
      </c>
      <c r="C1290" s="8">
        <v>46131</v>
      </c>
      <c r="D1290" s="9">
        <v>34611</v>
      </c>
    </row>
    <row r="1291" spans="1:4">
      <c r="A1291" t="s">
        <v>4</v>
      </c>
      <c r="B1291" t="s">
        <v>231</v>
      </c>
      <c r="C1291" s="8">
        <v>46131</v>
      </c>
      <c r="D1291" s="9">
        <v>36416</v>
      </c>
    </row>
    <row r="1292" spans="1:4">
      <c r="A1292" t="s">
        <v>4</v>
      </c>
      <c r="B1292" t="s">
        <v>214</v>
      </c>
      <c r="C1292" s="8">
        <v>46131</v>
      </c>
      <c r="D1292" s="9">
        <v>47199</v>
      </c>
    </row>
    <row r="1293" spans="1:4">
      <c r="A1293" t="s">
        <v>36</v>
      </c>
      <c r="B1293" t="s">
        <v>155</v>
      </c>
      <c r="C1293" s="8">
        <v>46131</v>
      </c>
      <c r="D1293" s="9">
        <v>15899</v>
      </c>
    </row>
    <row r="1294" spans="1:4">
      <c r="A1294" t="s">
        <v>30</v>
      </c>
      <c r="B1294" t="s">
        <v>111</v>
      </c>
      <c r="C1294" s="8">
        <v>46131</v>
      </c>
      <c r="D1294" s="9">
        <v>28708</v>
      </c>
    </row>
    <row r="1295" spans="1:4">
      <c r="A1295" t="s">
        <v>8</v>
      </c>
      <c r="B1295" t="s">
        <v>148</v>
      </c>
      <c r="C1295" s="8">
        <v>46131</v>
      </c>
      <c r="D1295" s="9">
        <v>19002</v>
      </c>
    </row>
    <row r="1296" spans="1:4">
      <c r="A1296" t="s">
        <v>7</v>
      </c>
      <c r="B1296" t="s">
        <v>116</v>
      </c>
      <c r="C1296" s="8">
        <v>46131</v>
      </c>
      <c r="D1296" s="9">
        <v>38114</v>
      </c>
    </row>
    <row r="1297" spans="1:4">
      <c r="A1297" t="s">
        <v>9</v>
      </c>
      <c r="B1297" t="s">
        <v>144</v>
      </c>
      <c r="C1297" s="8">
        <v>46131</v>
      </c>
      <c r="D1297" s="9">
        <v>27797</v>
      </c>
    </row>
    <row r="1298" spans="1:4">
      <c r="A1298" t="s">
        <v>5</v>
      </c>
      <c r="B1298" t="s">
        <v>115</v>
      </c>
      <c r="C1298" s="8">
        <v>46131</v>
      </c>
      <c r="D1298" s="9">
        <v>42876</v>
      </c>
    </row>
    <row r="1299" spans="1:4">
      <c r="A1299" t="s">
        <v>5</v>
      </c>
      <c r="B1299" t="s">
        <v>115</v>
      </c>
      <c r="C1299" s="8">
        <v>46131</v>
      </c>
      <c r="D1299" s="9">
        <v>40696</v>
      </c>
    </row>
    <row r="1300" spans="1:4">
      <c r="A1300" t="s">
        <v>5</v>
      </c>
      <c r="B1300" t="s">
        <v>228</v>
      </c>
      <c r="C1300" s="8">
        <v>46131</v>
      </c>
      <c r="D1300" s="9">
        <v>40423</v>
      </c>
    </row>
    <row r="1301" spans="1:4">
      <c r="A1301" t="s">
        <v>5</v>
      </c>
      <c r="B1301" t="s">
        <v>202</v>
      </c>
      <c r="C1301" s="8">
        <v>46131</v>
      </c>
      <c r="D1301" s="9">
        <v>32814</v>
      </c>
    </row>
    <row r="1302" spans="1:4">
      <c r="A1302" t="s">
        <v>5</v>
      </c>
      <c r="B1302" t="s">
        <v>190</v>
      </c>
      <c r="C1302" s="8">
        <v>46131</v>
      </c>
      <c r="D1302" s="9">
        <v>25879</v>
      </c>
    </row>
    <row r="1303" spans="1:4">
      <c r="A1303" t="s">
        <v>5</v>
      </c>
      <c r="B1303" t="s">
        <v>243</v>
      </c>
      <c r="C1303" s="8">
        <v>46131</v>
      </c>
      <c r="D1303" s="9">
        <v>47293</v>
      </c>
    </row>
    <row r="1304" spans="1:4">
      <c r="A1304" t="s">
        <v>5</v>
      </c>
      <c r="B1304" t="s">
        <v>139</v>
      </c>
      <c r="C1304" s="8">
        <v>46131</v>
      </c>
      <c r="D1304" s="9">
        <v>44785</v>
      </c>
    </row>
    <row r="1305" spans="1:4">
      <c r="A1305" t="s">
        <v>5</v>
      </c>
      <c r="B1305" t="s">
        <v>168</v>
      </c>
      <c r="C1305" s="8">
        <v>46131</v>
      </c>
      <c r="D1305" s="9">
        <v>43469</v>
      </c>
    </row>
    <row r="1306" spans="1:4">
      <c r="A1306" t="s">
        <v>5</v>
      </c>
      <c r="B1306" t="s">
        <v>105</v>
      </c>
      <c r="C1306" s="8">
        <v>46131</v>
      </c>
      <c r="D1306" s="9">
        <v>42352</v>
      </c>
    </row>
    <row r="1307" spans="1:4">
      <c r="A1307" t="s">
        <v>31</v>
      </c>
      <c r="B1307" t="s">
        <v>222</v>
      </c>
      <c r="C1307" s="8">
        <v>46132</v>
      </c>
      <c r="D1307" s="9">
        <v>16247</v>
      </c>
    </row>
    <row r="1308" spans="1:4">
      <c r="A1308" t="s">
        <v>25</v>
      </c>
      <c r="B1308" t="s">
        <v>250</v>
      </c>
      <c r="C1308" s="8">
        <v>46132</v>
      </c>
      <c r="D1308" s="9">
        <v>20553</v>
      </c>
    </row>
    <row r="1309" spans="1:4">
      <c r="A1309" t="s">
        <v>30</v>
      </c>
      <c r="B1309" t="s">
        <v>273</v>
      </c>
      <c r="C1309" s="8">
        <v>46132</v>
      </c>
      <c r="D1309" s="9">
        <v>13453</v>
      </c>
    </row>
    <row r="1310" spans="1:4">
      <c r="A1310" t="s">
        <v>8</v>
      </c>
      <c r="B1310" t="s">
        <v>98</v>
      </c>
      <c r="C1310" s="8">
        <v>46132</v>
      </c>
      <c r="D1310" s="9">
        <v>11217</v>
      </c>
    </row>
    <row r="1311" spans="1:4">
      <c r="A1311" t="s">
        <v>8</v>
      </c>
      <c r="B1311" t="s">
        <v>163</v>
      </c>
      <c r="C1311" s="8">
        <v>46132</v>
      </c>
      <c r="D1311" s="9">
        <v>41652</v>
      </c>
    </row>
    <row r="1312" spans="1:4">
      <c r="A1312" t="s">
        <v>8</v>
      </c>
      <c r="B1312" t="s">
        <v>49</v>
      </c>
      <c r="C1312" s="8">
        <v>46132</v>
      </c>
      <c r="D1312" s="9">
        <v>19853</v>
      </c>
    </row>
    <row r="1313" spans="1:4">
      <c r="A1313" t="s">
        <v>33</v>
      </c>
      <c r="B1313" t="s">
        <v>134</v>
      </c>
      <c r="C1313" s="8">
        <v>46132</v>
      </c>
      <c r="D1313" s="9">
        <v>14033</v>
      </c>
    </row>
    <row r="1314" spans="1:4">
      <c r="A1314" t="s">
        <v>9</v>
      </c>
      <c r="B1314" t="s">
        <v>101</v>
      </c>
      <c r="C1314" s="8">
        <v>46132</v>
      </c>
      <c r="D1314" s="9">
        <v>45209</v>
      </c>
    </row>
    <row r="1315" spans="1:4">
      <c r="A1315" t="s">
        <v>9</v>
      </c>
      <c r="B1315" t="s">
        <v>283</v>
      </c>
      <c r="C1315" s="8">
        <v>46132</v>
      </c>
      <c r="D1315" s="9">
        <v>38012</v>
      </c>
    </row>
    <row r="1316" spans="1:4">
      <c r="A1316" t="s">
        <v>5</v>
      </c>
      <c r="B1316" t="s">
        <v>80</v>
      </c>
      <c r="C1316" s="8">
        <v>46132</v>
      </c>
      <c r="D1316" s="9">
        <v>46101</v>
      </c>
    </row>
    <row r="1317" spans="1:4">
      <c r="A1317" t="s">
        <v>5</v>
      </c>
      <c r="B1317" t="s">
        <v>167</v>
      </c>
      <c r="C1317" s="8">
        <v>46132</v>
      </c>
      <c r="D1317" s="9">
        <v>40817</v>
      </c>
    </row>
    <row r="1318" spans="1:4">
      <c r="A1318" t="s">
        <v>5</v>
      </c>
      <c r="B1318" t="s">
        <v>183</v>
      </c>
      <c r="C1318" s="8">
        <v>46132</v>
      </c>
      <c r="D1318" s="9">
        <v>43781</v>
      </c>
    </row>
    <row r="1319" spans="1:4">
      <c r="A1319" t="s">
        <v>5</v>
      </c>
      <c r="B1319" t="s">
        <v>159</v>
      </c>
      <c r="C1319" s="8">
        <v>46132</v>
      </c>
      <c r="D1319" s="9">
        <v>40815</v>
      </c>
    </row>
    <row r="1320" spans="1:4">
      <c r="A1320" t="s">
        <v>5</v>
      </c>
      <c r="B1320" t="s">
        <v>146</v>
      </c>
      <c r="C1320" s="8">
        <v>46132</v>
      </c>
      <c r="D1320" s="9">
        <v>53995</v>
      </c>
    </row>
    <row r="1321" spans="1:4">
      <c r="A1321" t="s">
        <v>4</v>
      </c>
      <c r="B1321" t="s">
        <v>89</v>
      </c>
      <c r="C1321" s="8">
        <v>46133</v>
      </c>
      <c r="D1321" s="9">
        <v>27492</v>
      </c>
    </row>
    <row r="1322" spans="1:4">
      <c r="A1322" t="s">
        <v>31</v>
      </c>
      <c r="B1322" t="s">
        <v>106</v>
      </c>
      <c r="C1322" s="8">
        <v>46133</v>
      </c>
      <c r="D1322" s="9">
        <v>12051</v>
      </c>
    </row>
    <row r="1323" spans="1:4">
      <c r="A1323" t="s">
        <v>25</v>
      </c>
      <c r="B1323" t="s">
        <v>162</v>
      </c>
      <c r="C1323" s="8">
        <v>46133</v>
      </c>
      <c r="D1323" s="9">
        <v>21910</v>
      </c>
    </row>
    <row r="1324" spans="1:4">
      <c r="A1324" t="s">
        <v>25</v>
      </c>
      <c r="B1324" t="s">
        <v>127</v>
      </c>
      <c r="C1324" s="8">
        <v>46133</v>
      </c>
      <c r="D1324" s="9">
        <v>20674</v>
      </c>
    </row>
    <row r="1325" spans="1:4">
      <c r="A1325" t="s">
        <v>6</v>
      </c>
      <c r="B1325" t="s">
        <v>72</v>
      </c>
      <c r="C1325" s="8">
        <v>46133</v>
      </c>
      <c r="D1325" s="9">
        <v>21111</v>
      </c>
    </row>
    <row r="1326" spans="1:4">
      <c r="A1326" t="s">
        <v>6</v>
      </c>
      <c r="B1326" t="s">
        <v>176</v>
      </c>
      <c r="C1326" s="8">
        <v>46133</v>
      </c>
      <c r="D1326" s="9">
        <v>24806</v>
      </c>
    </row>
    <row r="1327" spans="1:4">
      <c r="A1327" t="s">
        <v>7</v>
      </c>
      <c r="B1327" t="s">
        <v>61</v>
      </c>
      <c r="C1327" s="8">
        <v>46133</v>
      </c>
      <c r="D1327" s="9">
        <v>36496</v>
      </c>
    </row>
    <row r="1328" spans="1:4">
      <c r="A1328" t="s">
        <v>9</v>
      </c>
      <c r="B1328" t="s">
        <v>145</v>
      </c>
      <c r="C1328" s="8">
        <v>46133</v>
      </c>
      <c r="D1328" s="9">
        <v>33426</v>
      </c>
    </row>
    <row r="1329" spans="1:4">
      <c r="A1329" t="s">
        <v>9</v>
      </c>
      <c r="B1329" t="s">
        <v>166</v>
      </c>
      <c r="C1329" s="8">
        <v>46133</v>
      </c>
      <c r="D1329" s="9">
        <v>31484</v>
      </c>
    </row>
    <row r="1330" spans="1:4">
      <c r="A1330" t="s">
        <v>5</v>
      </c>
      <c r="B1330" t="s">
        <v>96</v>
      </c>
      <c r="C1330" s="8">
        <v>46133</v>
      </c>
      <c r="D1330" s="9">
        <v>59790</v>
      </c>
    </row>
    <row r="1331" spans="1:4">
      <c r="A1331" t="s">
        <v>5</v>
      </c>
      <c r="B1331" t="s">
        <v>60</v>
      </c>
      <c r="C1331" s="8">
        <v>46133</v>
      </c>
      <c r="D1331" s="9">
        <v>50709</v>
      </c>
    </row>
    <row r="1332" spans="1:4">
      <c r="A1332" t="s">
        <v>4</v>
      </c>
      <c r="B1332" t="s">
        <v>189</v>
      </c>
      <c r="C1332" s="8">
        <v>46134</v>
      </c>
      <c r="D1332" s="9">
        <v>7875</v>
      </c>
    </row>
    <row r="1333" spans="1:4">
      <c r="A1333" t="s">
        <v>4</v>
      </c>
      <c r="B1333" t="s">
        <v>147</v>
      </c>
      <c r="C1333" s="8">
        <v>46134</v>
      </c>
      <c r="D1333" s="9">
        <v>14916</v>
      </c>
    </row>
    <row r="1334" spans="1:4">
      <c r="A1334" t="s">
        <v>25</v>
      </c>
      <c r="B1334" t="s">
        <v>108</v>
      </c>
      <c r="C1334" s="8">
        <v>46134</v>
      </c>
      <c r="D1334" s="9">
        <v>17096</v>
      </c>
    </row>
    <row r="1335" spans="1:4">
      <c r="A1335" t="s">
        <v>26</v>
      </c>
      <c r="B1335" t="s">
        <v>97</v>
      </c>
      <c r="C1335" s="8">
        <v>46134</v>
      </c>
      <c r="D1335" s="9">
        <v>17766</v>
      </c>
    </row>
    <row r="1336" spans="1:4">
      <c r="A1336" t="s">
        <v>6</v>
      </c>
      <c r="B1336" t="s">
        <v>112</v>
      </c>
      <c r="C1336" s="8">
        <v>46134</v>
      </c>
      <c r="D1336" s="9">
        <v>21170</v>
      </c>
    </row>
    <row r="1337" spans="1:4">
      <c r="A1337" t="s">
        <v>7</v>
      </c>
      <c r="B1337" t="s">
        <v>77</v>
      </c>
      <c r="C1337" s="8">
        <v>46134</v>
      </c>
      <c r="D1337" s="9">
        <v>27681</v>
      </c>
    </row>
    <row r="1338" spans="1:4">
      <c r="A1338" t="s">
        <v>7</v>
      </c>
      <c r="B1338" t="s">
        <v>195</v>
      </c>
      <c r="C1338" s="8">
        <v>46134</v>
      </c>
      <c r="D1338" s="9">
        <v>35886</v>
      </c>
    </row>
    <row r="1339" spans="1:4">
      <c r="A1339" t="s">
        <v>9</v>
      </c>
      <c r="B1339" t="s">
        <v>249</v>
      </c>
      <c r="C1339" s="8">
        <v>46134</v>
      </c>
      <c r="D1339" s="9">
        <v>32648</v>
      </c>
    </row>
    <row r="1340" spans="1:4">
      <c r="A1340" t="s">
        <v>5</v>
      </c>
      <c r="B1340" t="s">
        <v>206</v>
      </c>
      <c r="C1340" s="8">
        <v>46134</v>
      </c>
      <c r="D1340" s="9">
        <v>47281</v>
      </c>
    </row>
    <row r="1341" spans="1:4">
      <c r="A1341" t="s">
        <v>5</v>
      </c>
      <c r="B1341" t="s">
        <v>158</v>
      </c>
      <c r="C1341" s="8">
        <v>46134</v>
      </c>
      <c r="D1341" s="9">
        <v>48964</v>
      </c>
    </row>
    <row r="1342" spans="1:4">
      <c r="A1342" t="s">
        <v>5</v>
      </c>
      <c r="B1342" t="s">
        <v>104</v>
      </c>
      <c r="C1342" s="8">
        <v>46134</v>
      </c>
      <c r="D1342" s="9">
        <v>52775</v>
      </c>
    </row>
    <row r="1343" spans="1:4">
      <c r="A1343" t="s">
        <v>5</v>
      </c>
      <c r="B1343" t="s">
        <v>188</v>
      </c>
      <c r="C1343" s="8">
        <v>46134</v>
      </c>
      <c r="D1343" s="9">
        <v>46434</v>
      </c>
    </row>
    <row r="1344" spans="1:4">
      <c r="A1344" t="s">
        <v>9</v>
      </c>
      <c r="B1344" t="s">
        <v>92</v>
      </c>
      <c r="C1344" s="8">
        <v>46135</v>
      </c>
      <c r="D1344" s="9">
        <v>39131</v>
      </c>
    </row>
    <row r="1345" spans="1:4">
      <c r="A1345" t="s">
        <v>5</v>
      </c>
      <c r="B1345" t="s">
        <v>202</v>
      </c>
      <c r="C1345" s="8">
        <v>46135</v>
      </c>
      <c r="D1345" s="9">
        <v>30350</v>
      </c>
    </row>
    <row r="1346" spans="1:4">
      <c r="A1346" t="s">
        <v>5</v>
      </c>
      <c r="B1346" t="s">
        <v>60</v>
      </c>
      <c r="C1346" s="8">
        <v>46135</v>
      </c>
      <c r="D1346" s="9">
        <v>50534</v>
      </c>
    </row>
    <row r="1347" spans="1:4">
      <c r="A1347" t="s">
        <v>30</v>
      </c>
      <c r="B1347" t="s">
        <v>156</v>
      </c>
      <c r="C1347" s="8">
        <v>46136</v>
      </c>
      <c r="D1347" s="9">
        <v>13384</v>
      </c>
    </row>
    <row r="1348" spans="1:4">
      <c r="A1348" t="s">
        <v>7</v>
      </c>
      <c r="B1348" t="s">
        <v>235</v>
      </c>
      <c r="C1348" s="8">
        <v>46136</v>
      </c>
      <c r="D1348" s="9">
        <v>31207</v>
      </c>
    </row>
    <row r="1349" spans="1:4">
      <c r="A1349" t="s">
        <v>9</v>
      </c>
      <c r="B1349" t="s">
        <v>178</v>
      </c>
      <c r="C1349" s="8">
        <v>46136</v>
      </c>
      <c r="D1349" s="9">
        <v>34999</v>
      </c>
    </row>
    <row r="1350" spans="1:4">
      <c r="A1350" t="s">
        <v>9</v>
      </c>
      <c r="B1350" t="s">
        <v>283</v>
      </c>
      <c r="C1350" s="8">
        <v>46136</v>
      </c>
      <c r="D1350" s="9">
        <v>49971</v>
      </c>
    </row>
    <row r="1351" spans="1:4">
      <c r="A1351" t="s">
        <v>5</v>
      </c>
      <c r="B1351" t="s">
        <v>62</v>
      </c>
      <c r="C1351" s="8">
        <v>46136</v>
      </c>
      <c r="D1351" s="9">
        <v>39008</v>
      </c>
    </row>
    <row r="1352" spans="1:4">
      <c r="A1352" t="s">
        <v>5</v>
      </c>
      <c r="B1352" t="s">
        <v>94</v>
      </c>
      <c r="C1352" s="8">
        <v>46136</v>
      </c>
      <c r="D1352" s="9">
        <v>40194</v>
      </c>
    </row>
    <row r="1353" spans="1:4">
      <c r="A1353" t="s">
        <v>5</v>
      </c>
      <c r="B1353" t="s">
        <v>168</v>
      </c>
      <c r="C1353" s="8">
        <v>46136</v>
      </c>
      <c r="D1353" s="9">
        <v>37600</v>
      </c>
    </row>
    <row r="1354" spans="1:4">
      <c r="A1354" t="s">
        <v>5</v>
      </c>
      <c r="B1354" t="s">
        <v>118</v>
      </c>
      <c r="C1354" s="8">
        <v>46136</v>
      </c>
      <c r="D1354" s="9">
        <v>34996</v>
      </c>
    </row>
    <row r="1355" spans="1:4">
      <c r="A1355" t="s">
        <v>5</v>
      </c>
      <c r="B1355" t="s">
        <v>53</v>
      </c>
      <c r="C1355" s="8">
        <v>46136</v>
      </c>
      <c r="D1355" s="9">
        <v>38521</v>
      </c>
    </row>
    <row r="1356" spans="1:4">
      <c r="A1356" t="s">
        <v>8</v>
      </c>
      <c r="B1356" t="s">
        <v>246</v>
      </c>
      <c r="C1356" s="8">
        <v>46137</v>
      </c>
      <c r="D1356" s="9">
        <v>21138</v>
      </c>
    </row>
    <row r="1357" spans="1:4">
      <c r="A1357" t="s">
        <v>34</v>
      </c>
      <c r="B1357" t="s">
        <v>215</v>
      </c>
      <c r="C1357" s="8">
        <v>46137</v>
      </c>
      <c r="D1357" s="9">
        <v>30360</v>
      </c>
    </row>
    <row r="1358" spans="1:4">
      <c r="A1358" t="s">
        <v>7</v>
      </c>
      <c r="B1358" t="s">
        <v>113</v>
      </c>
      <c r="C1358" s="8">
        <v>46137</v>
      </c>
      <c r="D1358" s="9">
        <v>24704</v>
      </c>
    </row>
    <row r="1359" spans="1:4">
      <c r="A1359" t="s">
        <v>7</v>
      </c>
      <c r="B1359" t="s">
        <v>135</v>
      </c>
      <c r="C1359" s="8">
        <v>46137</v>
      </c>
      <c r="D1359" s="9">
        <v>30304</v>
      </c>
    </row>
    <row r="1360" spans="1:4">
      <c r="A1360" t="s">
        <v>7</v>
      </c>
      <c r="B1360" t="s">
        <v>57</v>
      </c>
      <c r="C1360" s="8">
        <v>46137</v>
      </c>
      <c r="D1360" s="9">
        <v>23299</v>
      </c>
    </row>
    <row r="1361" spans="1:4">
      <c r="A1361" t="s">
        <v>37</v>
      </c>
      <c r="B1361" t="s">
        <v>248</v>
      </c>
      <c r="C1361" s="8">
        <v>46137</v>
      </c>
      <c r="D1361" s="9">
        <v>13189</v>
      </c>
    </row>
    <row r="1362" spans="1:4">
      <c r="A1362" t="s">
        <v>9</v>
      </c>
      <c r="B1362" t="s">
        <v>264</v>
      </c>
      <c r="C1362" s="8">
        <v>46137</v>
      </c>
      <c r="D1362" s="9">
        <v>26955</v>
      </c>
    </row>
    <row r="1363" spans="1:4">
      <c r="A1363" t="s">
        <v>9</v>
      </c>
      <c r="B1363" t="s">
        <v>178</v>
      </c>
      <c r="C1363" s="8">
        <v>46137</v>
      </c>
      <c r="D1363" s="9">
        <v>33810</v>
      </c>
    </row>
    <row r="1364" spans="1:4">
      <c r="A1364" t="s">
        <v>9</v>
      </c>
      <c r="B1364" t="s">
        <v>185</v>
      </c>
      <c r="C1364" s="8">
        <v>46137</v>
      </c>
      <c r="D1364" s="9">
        <v>41779</v>
      </c>
    </row>
    <row r="1365" spans="1:4">
      <c r="A1365" t="s">
        <v>5</v>
      </c>
      <c r="B1365" t="s">
        <v>197</v>
      </c>
      <c r="C1365" s="8">
        <v>46137</v>
      </c>
      <c r="D1365" s="9">
        <v>43850</v>
      </c>
    </row>
    <row r="1366" spans="1:4">
      <c r="A1366" t="s">
        <v>5</v>
      </c>
      <c r="B1366" t="s">
        <v>168</v>
      </c>
      <c r="C1366" s="8">
        <v>46137</v>
      </c>
      <c r="D1366" s="9">
        <v>30962</v>
      </c>
    </row>
    <row r="1367" spans="1:4">
      <c r="A1367" t="s">
        <v>8</v>
      </c>
      <c r="B1367" t="s">
        <v>126</v>
      </c>
      <c r="C1367" s="8">
        <v>46138</v>
      </c>
      <c r="D1367" s="9">
        <v>17676</v>
      </c>
    </row>
    <row r="1368" spans="1:4">
      <c r="A1368" t="s">
        <v>6</v>
      </c>
      <c r="B1368" t="s">
        <v>177</v>
      </c>
      <c r="C1368" s="8">
        <v>46138</v>
      </c>
      <c r="D1368" s="9">
        <v>19025</v>
      </c>
    </row>
    <row r="1369" spans="1:4">
      <c r="A1369" t="s">
        <v>29</v>
      </c>
      <c r="B1369" t="s">
        <v>226</v>
      </c>
      <c r="C1369" s="8">
        <v>46138</v>
      </c>
      <c r="D1369" s="9">
        <v>17242</v>
      </c>
    </row>
    <row r="1370" spans="1:4">
      <c r="A1370" t="s">
        <v>29</v>
      </c>
      <c r="B1370" t="s">
        <v>109</v>
      </c>
      <c r="C1370" s="8">
        <v>46138</v>
      </c>
      <c r="D1370" s="9">
        <v>24076</v>
      </c>
    </row>
    <row r="1371" spans="1:4">
      <c r="A1371" t="s">
        <v>4</v>
      </c>
      <c r="B1371" t="s">
        <v>230</v>
      </c>
      <c r="C1371" s="8">
        <v>46139</v>
      </c>
      <c r="D1371" s="9">
        <v>35054</v>
      </c>
    </row>
    <row r="1372" spans="1:4">
      <c r="A1372" t="s">
        <v>4</v>
      </c>
      <c r="B1372" t="s">
        <v>213</v>
      </c>
      <c r="C1372" s="8">
        <v>46139</v>
      </c>
      <c r="D1372" s="9">
        <v>43535</v>
      </c>
    </row>
    <row r="1373" spans="1:4">
      <c r="A1373" t="s">
        <v>4</v>
      </c>
      <c r="B1373" t="s">
        <v>279</v>
      </c>
      <c r="C1373" s="8">
        <v>46139</v>
      </c>
      <c r="D1373" s="9">
        <v>45769</v>
      </c>
    </row>
    <row r="1374" spans="1:4">
      <c r="A1374" t="s">
        <v>25</v>
      </c>
      <c r="B1374" t="s">
        <v>63</v>
      </c>
      <c r="C1374" s="8">
        <v>46139</v>
      </c>
      <c r="D1374" s="9">
        <v>18249</v>
      </c>
    </row>
    <row r="1375" spans="1:4">
      <c r="A1375" t="s">
        <v>6</v>
      </c>
      <c r="B1375" t="s">
        <v>203</v>
      </c>
      <c r="C1375" s="8">
        <v>46139</v>
      </c>
      <c r="D1375" s="9">
        <v>24092</v>
      </c>
    </row>
    <row r="1376" spans="1:4">
      <c r="A1376" t="s">
        <v>7</v>
      </c>
      <c r="B1376" t="s">
        <v>114</v>
      </c>
      <c r="C1376" s="8">
        <v>46139</v>
      </c>
      <c r="D1376" s="9">
        <v>33590</v>
      </c>
    </row>
    <row r="1377" spans="1:4">
      <c r="A1377" t="s">
        <v>9</v>
      </c>
      <c r="B1377" t="s">
        <v>208</v>
      </c>
      <c r="C1377" s="8">
        <v>46139</v>
      </c>
      <c r="D1377" s="9">
        <v>30116</v>
      </c>
    </row>
    <row r="1378" spans="1:4">
      <c r="A1378" t="s">
        <v>9</v>
      </c>
      <c r="B1378" t="s">
        <v>50</v>
      </c>
      <c r="C1378" s="8">
        <v>46139</v>
      </c>
      <c r="D1378" s="9">
        <v>30773</v>
      </c>
    </row>
    <row r="1379" spans="1:4">
      <c r="A1379" t="s">
        <v>9</v>
      </c>
      <c r="B1379" t="s">
        <v>131</v>
      </c>
      <c r="C1379" s="8">
        <v>46139</v>
      </c>
      <c r="D1379" s="9">
        <v>55698</v>
      </c>
    </row>
    <row r="1380" spans="1:4">
      <c r="A1380" t="s">
        <v>9</v>
      </c>
      <c r="B1380" t="s">
        <v>48</v>
      </c>
      <c r="C1380" s="8">
        <v>46139</v>
      </c>
      <c r="D1380" s="9">
        <v>32321</v>
      </c>
    </row>
    <row r="1381" spans="1:4">
      <c r="A1381" t="s">
        <v>5</v>
      </c>
      <c r="B1381" t="s">
        <v>158</v>
      </c>
      <c r="C1381" s="8">
        <v>46139</v>
      </c>
      <c r="D1381" s="9">
        <v>41318</v>
      </c>
    </row>
    <row r="1382" spans="1:4">
      <c r="A1382" t="s">
        <v>5</v>
      </c>
      <c r="B1382" t="s">
        <v>138</v>
      </c>
      <c r="C1382" s="8">
        <v>46139</v>
      </c>
      <c r="D1382" s="9">
        <v>51513</v>
      </c>
    </row>
    <row r="1383" spans="1:4">
      <c r="A1383" t="s">
        <v>5</v>
      </c>
      <c r="B1383" t="s">
        <v>167</v>
      </c>
      <c r="C1383" s="8">
        <v>46139</v>
      </c>
      <c r="D1383" s="9">
        <v>39469</v>
      </c>
    </row>
    <row r="1384" spans="1:4">
      <c r="A1384" t="s">
        <v>5</v>
      </c>
      <c r="B1384" t="s">
        <v>118</v>
      </c>
      <c r="C1384" s="8">
        <v>46139</v>
      </c>
      <c r="D1384" s="9">
        <v>31933</v>
      </c>
    </row>
    <row r="1385" spans="1:4">
      <c r="A1385" t="s">
        <v>4</v>
      </c>
      <c r="B1385" t="s">
        <v>280</v>
      </c>
      <c r="C1385" s="8">
        <v>46140</v>
      </c>
      <c r="D1385" s="9">
        <v>42919</v>
      </c>
    </row>
    <row r="1386" spans="1:4">
      <c r="A1386" t="s">
        <v>31</v>
      </c>
      <c r="B1386" t="s">
        <v>207</v>
      </c>
      <c r="C1386" s="8">
        <v>46140</v>
      </c>
      <c r="D1386" s="9">
        <v>16017</v>
      </c>
    </row>
    <row r="1387" spans="1:4">
      <c r="A1387" t="s">
        <v>25</v>
      </c>
      <c r="B1387" t="s">
        <v>120</v>
      </c>
      <c r="C1387" s="8">
        <v>46140</v>
      </c>
      <c r="D1387" s="9">
        <v>16445</v>
      </c>
    </row>
    <row r="1388" spans="1:4">
      <c r="A1388" t="s">
        <v>34</v>
      </c>
      <c r="B1388" t="s">
        <v>225</v>
      </c>
      <c r="C1388" s="8">
        <v>46140</v>
      </c>
      <c r="D1388" s="9">
        <v>5200</v>
      </c>
    </row>
    <row r="1389" spans="1:4">
      <c r="A1389" t="s">
        <v>9</v>
      </c>
      <c r="B1389" t="s">
        <v>78</v>
      </c>
      <c r="C1389" s="8">
        <v>46140</v>
      </c>
      <c r="D1389" s="9">
        <v>26915</v>
      </c>
    </row>
    <row r="1390" spans="1:4">
      <c r="A1390" t="s">
        <v>9</v>
      </c>
      <c r="B1390" t="s">
        <v>166</v>
      </c>
      <c r="C1390" s="8">
        <v>46140</v>
      </c>
      <c r="D1390" s="9">
        <v>37507</v>
      </c>
    </row>
    <row r="1391" spans="1:4">
      <c r="A1391" t="s">
        <v>5</v>
      </c>
      <c r="B1391" t="s">
        <v>110</v>
      </c>
      <c r="C1391" s="8">
        <v>46140</v>
      </c>
      <c r="D1391" s="9">
        <v>47960</v>
      </c>
    </row>
    <row r="1392" spans="1:4">
      <c r="A1392" t="s">
        <v>5</v>
      </c>
      <c r="B1392" t="s">
        <v>243</v>
      </c>
      <c r="C1392" s="8">
        <v>46140</v>
      </c>
      <c r="D1392" s="9">
        <v>43462</v>
      </c>
    </row>
    <row r="1393" spans="1:4">
      <c r="A1393" t="s">
        <v>5</v>
      </c>
      <c r="B1393" t="s">
        <v>140</v>
      </c>
      <c r="C1393" s="8">
        <v>46140</v>
      </c>
      <c r="D1393" s="9">
        <v>44409</v>
      </c>
    </row>
    <row r="1394" spans="1:4">
      <c r="A1394" t="s">
        <v>4</v>
      </c>
      <c r="B1394" t="s">
        <v>269</v>
      </c>
      <c r="C1394" s="8">
        <v>46141</v>
      </c>
      <c r="D1394" s="9">
        <v>15970</v>
      </c>
    </row>
    <row r="1395" spans="1:4">
      <c r="A1395" t="s">
        <v>4</v>
      </c>
      <c r="B1395" t="s">
        <v>206</v>
      </c>
      <c r="C1395" s="8">
        <v>46141</v>
      </c>
      <c r="D1395" s="9">
        <v>45347</v>
      </c>
    </row>
    <row r="1396" spans="1:4">
      <c r="A1396" t="s">
        <v>4</v>
      </c>
      <c r="B1396" t="s">
        <v>161</v>
      </c>
      <c r="C1396" s="8">
        <v>46141</v>
      </c>
      <c r="D1396" s="9">
        <v>29520</v>
      </c>
    </row>
    <row r="1397" spans="1:4">
      <c r="A1397" t="s">
        <v>4</v>
      </c>
      <c r="B1397" t="s">
        <v>260</v>
      </c>
      <c r="C1397" s="8">
        <v>46141</v>
      </c>
      <c r="D1397" s="9">
        <v>23560</v>
      </c>
    </row>
    <row r="1398" spans="1:4">
      <c r="A1398" t="s">
        <v>31</v>
      </c>
      <c r="B1398" t="s">
        <v>107</v>
      </c>
      <c r="C1398" s="8">
        <v>46141</v>
      </c>
      <c r="D1398" s="9">
        <v>6008</v>
      </c>
    </row>
    <row r="1399" spans="1:4">
      <c r="A1399" t="s">
        <v>25</v>
      </c>
      <c r="B1399" t="s">
        <v>169</v>
      </c>
      <c r="C1399" s="8">
        <v>46141</v>
      </c>
      <c r="D1399" s="9">
        <v>5589</v>
      </c>
    </row>
    <row r="1400" spans="1:4">
      <c r="A1400" t="s">
        <v>8</v>
      </c>
      <c r="B1400" t="s">
        <v>266</v>
      </c>
      <c r="C1400" s="8">
        <v>46141</v>
      </c>
      <c r="D1400" s="9">
        <v>24922</v>
      </c>
    </row>
    <row r="1401" spans="1:4">
      <c r="A1401" t="s">
        <v>32</v>
      </c>
      <c r="B1401" t="s">
        <v>87</v>
      </c>
      <c r="C1401" s="8">
        <v>46141</v>
      </c>
      <c r="D1401" s="9">
        <v>14570</v>
      </c>
    </row>
    <row r="1402" spans="1:4">
      <c r="A1402" t="s">
        <v>7</v>
      </c>
      <c r="B1402" t="s">
        <v>171</v>
      </c>
      <c r="C1402" s="8">
        <v>46141</v>
      </c>
      <c r="D1402" s="9">
        <v>23372</v>
      </c>
    </row>
    <row r="1403" spans="1:4">
      <c r="A1403" t="s">
        <v>7</v>
      </c>
      <c r="B1403" t="s">
        <v>54</v>
      </c>
      <c r="C1403" s="8">
        <v>46141</v>
      </c>
      <c r="D1403" s="9">
        <v>33094</v>
      </c>
    </row>
    <row r="1404" spans="1:4">
      <c r="A1404" t="s">
        <v>7</v>
      </c>
      <c r="B1404" t="s">
        <v>244</v>
      </c>
      <c r="C1404" s="8">
        <v>46141</v>
      </c>
      <c r="D1404" s="9">
        <v>27758</v>
      </c>
    </row>
    <row r="1405" spans="1:4">
      <c r="A1405" t="s">
        <v>9</v>
      </c>
      <c r="B1405" t="s">
        <v>145</v>
      </c>
      <c r="C1405" s="8">
        <v>46141</v>
      </c>
      <c r="D1405" s="9">
        <v>36717</v>
      </c>
    </row>
    <row r="1406" spans="1:4">
      <c r="A1406" t="s">
        <v>9</v>
      </c>
      <c r="B1406" t="s">
        <v>228</v>
      </c>
      <c r="C1406" s="8">
        <v>46141</v>
      </c>
      <c r="D1406" s="9">
        <v>45717</v>
      </c>
    </row>
    <row r="1407" spans="1:4">
      <c r="A1407" t="s">
        <v>9</v>
      </c>
      <c r="B1407" t="s">
        <v>191</v>
      </c>
      <c r="C1407" s="8">
        <v>46141</v>
      </c>
      <c r="D1407" s="9">
        <v>26706</v>
      </c>
    </row>
    <row r="1408" spans="1:4">
      <c r="A1408" t="s">
        <v>9</v>
      </c>
      <c r="B1408" t="s">
        <v>51</v>
      </c>
      <c r="C1408" s="8">
        <v>46141</v>
      </c>
      <c r="D1408" s="9">
        <v>39260</v>
      </c>
    </row>
    <row r="1409" spans="1:4">
      <c r="A1409" t="s">
        <v>5</v>
      </c>
      <c r="B1409" t="s">
        <v>124</v>
      </c>
      <c r="C1409" s="8">
        <v>46141</v>
      </c>
      <c r="D1409" s="9">
        <v>43315</v>
      </c>
    </row>
    <row r="1410" spans="1:4">
      <c r="A1410" t="s">
        <v>5</v>
      </c>
      <c r="B1410" t="s">
        <v>81</v>
      </c>
      <c r="C1410" s="8">
        <v>46141</v>
      </c>
      <c r="D1410" s="9">
        <v>40238</v>
      </c>
    </row>
    <row r="1411" spans="1:4">
      <c r="A1411" t="s">
        <v>5</v>
      </c>
      <c r="B1411" t="s">
        <v>197</v>
      </c>
      <c r="C1411" s="8">
        <v>46141</v>
      </c>
      <c r="D1411" s="9">
        <v>33644</v>
      </c>
    </row>
    <row r="1412" spans="1:4">
      <c r="A1412" t="s">
        <v>5</v>
      </c>
      <c r="B1412" t="s">
        <v>125</v>
      </c>
      <c r="C1412" s="8">
        <v>46141</v>
      </c>
      <c r="D1412" s="9">
        <v>50590</v>
      </c>
    </row>
    <row r="1413" spans="1:4">
      <c r="A1413" t="s">
        <v>27</v>
      </c>
      <c r="B1413" t="s">
        <v>211</v>
      </c>
      <c r="C1413" s="8">
        <v>46142</v>
      </c>
      <c r="D1413" s="9">
        <v>13064</v>
      </c>
    </row>
    <row r="1414" spans="1:4">
      <c r="A1414" t="s">
        <v>27</v>
      </c>
      <c r="B1414" t="s">
        <v>142</v>
      </c>
      <c r="C1414" s="8">
        <v>46142</v>
      </c>
      <c r="D1414" s="9">
        <v>32090</v>
      </c>
    </row>
    <row r="1415" spans="1:4">
      <c r="A1415" t="s">
        <v>4</v>
      </c>
      <c r="B1415" t="s">
        <v>133</v>
      </c>
      <c r="C1415" s="8">
        <v>46142</v>
      </c>
      <c r="D1415" s="9">
        <v>39259</v>
      </c>
    </row>
    <row r="1416" spans="1:4">
      <c r="A1416" t="s">
        <v>4</v>
      </c>
      <c r="B1416" t="s">
        <v>84</v>
      </c>
      <c r="C1416" s="8">
        <v>46142</v>
      </c>
      <c r="D1416" s="9">
        <v>32947</v>
      </c>
    </row>
    <row r="1417" spans="1:4">
      <c r="A1417" t="s">
        <v>4</v>
      </c>
      <c r="B1417" t="s">
        <v>276</v>
      </c>
      <c r="C1417" s="8">
        <v>46142</v>
      </c>
      <c r="D1417" s="9">
        <v>36355</v>
      </c>
    </row>
    <row r="1418" spans="1:4">
      <c r="A1418" t="s">
        <v>4</v>
      </c>
      <c r="B1418" t="s">
        <v>260</v>
      </c>
      <c r="C1418" s="8">
        <v>46142</v>
      </c>
      <c r="D1418" s="9">
        <v>32964</v>
      </c>
    </row>
    <row r="1419" spans="1:4">
      <c r="A1419" t="s">
        <v>28</v>
      </c>
      <c r="B1419" t="s">
        <v>154</v>
      </c>
      <c r="C1419" s="8">
        <v>46142</v>
      </c>
      <c r="D1419" s="9">
        <v>14728</v>
      </c>
    </row>
    <row r="1420" spans="1:4">
      <c r="A1420" t="s">
        <v>32</v>
      </c>
      <c r="B1420" t="s">
        <v>224</v>
      </c>
      <c r="C1420" s="8">
        <v>46142</v>
      </c>
      <c r="D1420" s="9">
        <v>14587</v>
      </c>
    </row>
    <row r="1421" spans="1:4">
      <c r="A1421" t="s">
        <v>6</v>
      </c>
      <c r="B1421" t="s">
        <v>261</v>
      </c>
      <c r="C1421" s="8">
        <v>46142</v>
      </c>
      <c r="D1421" s="9">
        <v>17528</v>
      </c>
    </row>
    <row r="1422" spans="1:4">
      <c r="A1422" t="s">
        <v>7</v>
      </c>
      <c r="B1422" t="s">
        <v>268</v>
      </c>
      <c r="C1422" s="8">
        <v>46142</v>
      </c>
      <c r="D1422" s="9">
        <v>23782</v>
      </c>
    </row>
    <row r="1423" spans="1:4">
      <c r="A1423" t="s">
        <v>9</v>
      </c>
      <c r="B1423" t="s">
        <v>113</v>
      </c>
      <c r="C1423" s="8">
        <v>46142</v>
      </c>
      <c r="D1423" s="9">
        <v>34047</v>
      </c>
    </row>
    <row r="1424" spans="1:4">
      <c r="A1424" t="s">
        <v>9</v>
      </c>
      <c r="B1424" t="s">
        <v>129</v>
      </c>
      <c r="C1424" s="8">
        <v>46142</v>
      </c>
      <c r="D1424" s="9">
        <v>28788</v>
      </c>
    </row>
    <row r="1425" spans="1:4">
      <c r="A1425" t="s">
        <v>9</v>
      </c>
      <c r="B1425" t="s">
        <v>137</v>
      </c>
      <c r="C1425" s="8">
        <v>46142</v>
      </c>
      <c r="D1425" s="9">
        <v>27222</v>
      </c>
    </row>
    <row r="1426" spans="1:4">
      <c r="A1426" t="s">
        <v>5</v>
      </c>
      <c r="B1426" t="s">
        <v>117</v>
      </c>
      <c r="C1426" s="8">
        <v>46142</v>
      </c>
      <c r="D1426" s="9">
        <v>39194</v>
      </c>
    </row>
    <row r="1427" spans="1:4">
      <c r="A1427" t="s">
        <v>5</v>
      </c>
      <c r="B1427" t="s">
        <v>159</v>
      </c>
      <c r="C1427" s="8">
        <v>46142</v>
      </c>
      <c r="D1427" s="9">
        <v>37540</v>
      </c>
    </row>
    <row r="1428" spans="1:4">
      <c r="A1428" t="s">
        <v>26</v>
      </c>
      <c r="B1428" t="s">
        <v>278</v>
      </c>
      <c r="C1428" s="8">
        <v>46143</v>
      </c>
      <c r="D1428" s="9">
        <v>5200</v>
      </c>
    </row>
    <row r="1429" spans="1:4">
      <c r="A1429" t="s">
        <v>8</v>
      </c>
      <c r="B1429" t="s">
        <v>163</v>
      </c>
      <c r="C1429" s="8">
        <v>46143</v>
      </c>
      <c r="D1429" s="9">
        <v>30627</v>
      </c>
    </row>
    <row r="1430" spans="1:4">
      <c r="A1430" t="s">
        <v>8</v>
      </c>
      <c r="B1430" t="s">
        <v>49</v>
      </c>
      <c r="C1430" s="8">
        <v>46143</v>
      </c>
      <c r="D1430" s="9">
        <v>20860</v>
      </c>
    </row>
    <row r="1431" spans="1:4">
      <c r="A1431" t="s">
        <v>7</v>
      </c>
      <c r="B1431" t="s">
        <v>171</v>
      </c>
      <c r="C1431" s="8">
        <v>46143</v>
      </c>
      <c r="D1431" s="9">
        <v>23058</v>
      </c>
    </row>
    <row r="1432" spans="1:4">
      <c r="A1432" t="s">
        <v>7</v>
      </c>
      <c r="B1432" t="s">
        <v>235</v>
      </c>
      <c r="C1432" s="8">
        <v>46143</v>
      </c>
      <c r="D1432" s="9">
        <v>17716</v>
      </c>
    </row>
    <row r="1433" spans="1:4">
      <c r="A1433" t="s">
        <v>9</v>
      </c>
      <c r="B1433" t="s">
        <v>178</v>
      </c>
      <c r="C1433" s="8">
        <v>46143</v>
      </c>
      <c r="D1433" s="9">
        <v>42134</v>
      </c>
    </row>
    <row r="1434" spans="1:4">
      <c r="A1434" t="s">
        <v>9</v>
      </c>
      <c r="B1434" t="s">
        <v>150</v>
      </c>
      <c r="C1434" s="8">
        <v>46143</v>
      </c>
      <c r="D1434" s="9">
        <v>25997</v>
      </c>
    </row>
    <row r="1435" spans="1:4">
      <c r="A1435" t="s">
        <v>5</v>
      </c>
      <c r="B1435" t="s">
        <v>243</v>
      </c>
      <c r="C1435" s="8">
        <v>46143</v>
      </c>
      <c r="D1435" s="9">
        <v>35057</v>
      </c>
    </row>
    <row r="1436" spans="1:4">
      <c r="A1436" t="s">
        <v>5</v>
      </c>
      <c r="B1436" t="s">
        <v>105</v>
      </c>
      <c r="C1436" s="8">
        <v>46143</v>
      </c>
      <c r="D1436" s="9">
        <v>41163</v>
      </c>
    </row>
    <row r="1437" spans="1:4">
      <c r="A1437" t="s">
        <v>27</v>
      </c>
      <c r="B1437" t="s">
        <v>68</v>
      </c>
      <c r="C1437" s="8">
        <v>46144</v>
      </c>
      <c r="D1437" s="9">
        <v>14493</v>
      </c>
    </row>
    <row r="1438" spans="1:4">
      <c r="A1438" t="s">
        <v>27</v>
      </c>
      <c r="B1438" t="s">
        <v>142</v>
      </c>
      <c r="C1438" s="8">
        <v>46144</v>
      </c>
      <c r="D1438" s="9">
        <v>8347</v>
      </c>
    </row>
    <row r="1439" spans="1:4">
      <c r="A1439" t="s">
        <v>4</v>
      </c>
      <c r="B1439" t="s">
        <v>244</v>
      </c>
      <c r="C1439" s="8">
        <v>46144</v>
      </c>
      <c r="D1439" s="9">
        <v>14168</v>
      </c>
    </row>
    <row r="1440" spans="1:4">
      <c r="A1440" t="s">
        <v>4</v>
      </c>
      <c r="B1440" t="s">
        <v>241</v>
      </c>
      <c r="C1440" s="8">
        <v>46144</v>
      </c>
      <c r="D1440" s="9">
        <v>44693</v>
      </c>
    </row>
    <row r="1441" spans="1:4">
      <c r="A1441" t="s">
        <v>30</v>
      </c>
      <c r="B1441" t="s">
        <v>111</v>
      </c>
      <c r="C1441" s="8">
        <v>46144</v>
      </c>
      <c r="D1441" s="9">
        <v>31107</v>
      </c>
    </row>
    <row r="1442" spans="1:4">
      <c r="A1442" t="s">
        <v>8</v>
      </c>
      <c r="B1442" t="s">
        <v>199</v>
      </c>
      <c r="C1442" s="8">
        <v>46144</v>
      </c>
      <c r="D1442" s="9">
        <v>19764</v>
      </c>
    </row>
    <row r="1443" spans="1:4">
      <c r="A1443" t="s">
        <v>8</v>
      </c>
      <c r="B1443" t="s">
        <v>246</v>
      </c>
      <c r="C1443" s="8">
        <v>46144</v>
      </c>
      <c r="D1443" s="9">
        <v>18864</v>
      </c>
    </row>
    <row r="1444" spans="1:4">
      <c r="A1444" t="s">
        <v>6</v>
      </c>
      <c r="B1444" t="s">
        <v>112</v>
      </c>
      <c r="C1444" s="8">
        <v>46144</v>
      </c>
      <c r="D1444" s="9">
        <v>19390</v>
      </c>
    </row>
    <row r="1445" spans="1:4">
      <c r="A1445" t="s">
        <v>29</v>
      </c>
      <c r="B1445" t="s">
        <v>218</v>
      </c>
      <c r="C1445" s="8">
        <v>46144</v>
      </c>
      <c r="D1445" s="9">
        <v>15334</v>
      </c>
    </row>
    <row r="1446" spans="1:4">
      <c r="A1446" t="s">
        <v>9</v>
      </c>
      <c r="B1446" t="s">
        <v>50</v>
      </c>
      <c r="C1446" s="8">
        <v>46144</v>
      </c>
      <c r="D1446" s="9">
        <v>27404</v>
      </c>
    </row>
    <row r="1447" spans="1:4">
      <c r="A1447" t="s">
        <v>9</v>
      </c>
      <c r="B1447" t="s">
        <v>129</v>
      </c>
      <c r="C1447" s="8">
        <v>46144</v>
      </c>
      <c r="D1447" s="9">
        <v>35109</v>
      </c>
    </row>
    <row r="1448" spans="1:4">
      <c r="A1448" t="s">
        <v>9</v>
      </c>
      <c r="B1448" t="s">
        <v>178</v>
      </c>
      <c r="C1448" s="8">
        <v>46144</v>
      </c>
      <c r="D1448" s="9">
        <v>35294</v>
      </c>
    </row>
    <row r="1449" spans="1:4">
      <c r="A1449" t="s">
        <v>9</v>
      </c>
      <c r="B1449" t="s">
        <v>195</v>
      </c>
      <c r="C1449" s="8">
        <v>46144</v>
      </c>
      <c r="D1449" s="9">
        <v>33971</v>
      </c>
    </row>
    <row r="1450" spans="1:4">
      <c r="A1450" t="s">
        <v>5</v>
      </c>
      <c r="B1450" t="s">
        <v>93</v>
      </c>
      <c r="C1450" s="8">
        <v>46144</v>
      </c>
      <c r="D1450" s="9">
        <v>37890</v>
      </c>
    </row>
    <row r="1451" spans="1:4">
      <c r="A1451" t="s">
        <v>5</v>
      </c>
      <c r="B1451" t="s">
        <v>190</v>
      </c>
      <c r="C1451" s="8">
        <v>46144</v>
      </c>
      <c r="D1451" s="9">
        <v>43059</v>
      </c>
    </row>
    <row r="1452" spans="1:4">
      <c r="A1452" t="s">
        <v>5</v>
      </c>
      <c r="B1452" t="s">
        <v>159</v>
      </c>
      <c r="C1452" s="8">
        <v>46144</v>
      </c>
      <c r="D1452" s="9">
        <v>44552</v>
      </c>
    </row>
    <row r="1453" spans="1:4">
      <c r="A1453" t="s">
        <v>27</v>
      </c>
      <c r="B1453" t="s">
        <v>211</v>
      </c>
      <c r="C1453" s="8">
        <v>46145</v>
      </c>
      <c r="D1453" s="9">
        <v>18172</v>
      </c>
    </row>
    <row r="1454" spans="1:4">
      <c r="A1454" t="s">
        <v>4</v>
      </c>
      <c r="B1454" t="s">
        <v>133</v>
      </c>
      <c r="C1454" s="8">
        <v>46145</v>
      </c>
      <c r="D1454" s="9">
        <v>28628</v>
      </c>
    </row>
    <row r="1455" spans="1:4">
      <c r="A1455" t="s">
        <v>4</v>
      </c>
      <c r="B1455" t="s">
        <v>85</v>
      </c>
      <c r="C1455" s="8">
        <v>46145</v>
      </c>
      <c r="D1455" s="9">
        <v>34952</v>
      </c>
    </row>
    <row r="1456" spans="1:4">
      <c r="A1456" t="s">
        <v>8</v>
      </c>
      <c r="B1456" t="s">
        <v>86</v>
      </c>
      <c r="C1456" s="8">
        <v>46145</v>
      </c>
      <c r="D1456" s="9">
        <v>21054</v>
      </c>
    </row>
    <row r="1457" spans="1:4">
      <c r="A1457" t="s">
        <v>9</v>
      </c>
      <c r="B1457" t="s">
        <v>57</v>
      </c>
      <c r="C1457" s="8">
        <v>46145</v>
      </c>
      <c r="D1457" s="9">
        <v>28409</v>
      </c>
    </row>
    <row r="1458" spans="1:4">
      <c r="A1458" t="s">
        <v>5</v>
      </c>
      <c r="B1458" t="s">
        <v>132</v>
      </c>
      <c r="C1458" s="8">
        <v>46145</v>
      </c>
      <c r="D1458" s="9">
        <v>26273</v>
      </c>
    </row>
    <row r="1459" spans="1:4">
      <c r="A1459" t="s">
        <v>5</v>
      </c>
      <c r="B1459" t="s">
        <v>196</v>
      </c>
      <c r="C1459" s="8">
        <v>46145</v>
      </c>
      <c r="D1459" s="9">
        <v>45079</v>
      </c>
    </row>
    <row r="1460" spans="1:4">
      <c r="A1460" t="s">
        <v>5</v>
      </c>
      <c r="B1460" t="s">
        <v>196</v>
      </c>
      <c r="C1460" s="8">
        <v>46145</v>
      </c>
      <c r="D1460" s="9">
        <v>44857</v>
      </c>
    </row>
    <row r="1461" spans="1:4">
      <c r="A1461" t="s">
        <v>5</v>
      </c>
      <c r="B1461" t="s">
        <v>159</v>
      </c>
      <c r="C1461" s="8">
        <v>46145</v>
      </c>
      <c r="D1461" s="9">
        <v>54533</v>
      </c>
    </row>
    <row r="1462" spans="1:4">
      <c r="A1462" t="s">
        <v>5</v>
      </c>
      <c r="B1462" t="s">
        <v>159</v>
      </c>
      <c r="C1462" s="8">
        <v>46145</v>
      </c>
      <c r="D1462" s="9">
        <v>50953</v>
      </c>
    </row>
    <row r="1463" spans="1:4">
      <c r="A1463" t="s">
        <v>5</v>
      </c>
      <c r="B1463" t="s">
        <v>140</v>
      </c>
      <c r="C1463" s="8">
        <v>46145</v>
      </c>
      <c r="D1463" s="9">
        <v>22906</v>
      </c>
    </row>
    <row r="1464" spans="1:4">
      <c r="A1464" t="s">
        <v>4</v>
      </c>
      <c r="B1464" t="s">
        <v>271</v>
      </c>
      <c r="C1464" s="8">
        <v>46146</v>
      </c>
      <c r="D1464" s="9">
        <v>28622</v>
      </c>
    </row>
    <row r="1465" spans="1:4">
      <c r="A1465" t="s">
        <v>4</v>
      </c>
      <c r="B1465" t="s">
        <v>116</v>
      </c>
      <c r="C1465" s="8">
        <v>46146</v>
      </c>
      <c r="D1465" s="9">
        <v>29936</v>
      </c>
    </row>
    <row r="1466" spans="1:4">
      <c r="A1466" t="s">
        <v>4</v>
      </c>
      <c r="B1466" t="s">
        <v>119</v>
      </c>
      <c r="C1466" s="8">
        <v>46146</v>
      </c>
      <c r="D1466" s="9">
        <v>42284</v>
      </c>
    </row>
    <row r="1467" spans="1:4">
      <c r="A1467" t="s">
        <v>25</v>
      </c>
      <c r="B1467" t="s">
        <v>63</v>
      </c>
      <c r="C1467" s="8">
        <v>46146</v>
      </c>
      <c r="D1467" s="9">
        <v>17978</v>
      </c>
    </row>
    <row r="1468" spans="1:4">
      <c r="A1468" t="s">
        <v>32</v>
      </c>
      <c r="B1468" t="s">
        <v>273</v>
      </c>
      <c r="C1468" s="8">
        <v>46146</v>
      </c>
      <c r="D1468" s="9">
        <v>12788</v>
      </c>
    </row>
    <row r="1469" spans="1:4">
      <c r="A1469" t="s">
        <v>9</v>
      </c>
      <c r="B1469" t="s">
        <v>144</v>
      </c>
      <c r="C1469" s="8">
        <v>46146</v>
      </c>
      <c r="D1469" s="9">
        <v>25236</v>
      </c>
    </row>
    <row r="1470" spans="1:4">
      <c r="A1470" t="s">
        <v>9</v>
      </c>
      <c r="B1470" t="s">
        <v>65</v>
      </c>
      <c r="C1470" s="8">
        <v>46146</v>
      </c>
      <c r="D1470" s="9">
        <v>42287</v>
      </c>
    </row>
    <row r="1471" spans="1:4">
      <c r="A1471" t="s">
        <v>9</v>
      </c>
      <c r="B1471" t="s">
        <v>227</v>
      </c>
      <c r="C1471" s="8">
        <v>46146</v>
      </c>
      <c r="D1471" s="9">
        <v>27582</v>
      </c>
    </row>
    <row r="1472" spans="1:4">
      <c r="A1472" t="s">
        <v>9</v>
      </c>
      <c r="B1472" t="s">
        <v>48</v>
      </c>
      <c r="C1472" s="8">
        <v>46146</v>
      </c>
      <c r="D1472" s="9">
        <v>35178</v>
      </c>
    </row>
    <row r="1473" spans="1:4">
      <c r="A1473" t="s">
        <v>9</v>
      </c>
      <c r="B1473" t="s">
        <v>195</v>
      </c>
      <c r="C1473" s="8">
        <v>46146</v>
      </c>
      <c r="D1473" s="9">
        <v>38536</v>
      </c>
    </row>
    <row r="1474" spans="1:4">
      <c r="A1474" t="s">
        <v>5</v>
      </c>
      <c r="B1474" t="s">
        <v>81</v>
      </c>
      <c r="C1474" s="8">
        <v>46146</v>
      </c>
      <c r="D1474" s="9">
        <v>37642</v>
      </c>
    </row>
    <row r="1475" spans="1:4">
      <c r="A1475" t="s">
        <v>5</v>
      </c>
      <c r="B1475" t="s">
        <v>139</v>
      </c>
      <c r="C1475" s="8">
        <v>46146</v>
      </c>
      <c r="D1475" s="9">
        <v>46768</v>
      </c>
    </row>
    <row r="1476" spans="1:4">
      <c r="A1476" t="s">
        <v>5</v>
      </c>
      <c r="B1476" t="s">
        <v>141</v>
      </c>
      <c r="C1476" s="8">
        <v>46146</v>
      </c>
      <c r="D1476" s="9">
        <v>37906</v>
      </c>
    </row>
    <row r="1477" spans="1:4">
      <c r="A1477" t="s">
        <v>5</v>
      </c>
      <c r="B1477" t="s">
        <v>125</v>
      </c>
      <c r="C1477" s="8">
        <v>46146</v>
      </c>
      <c r="D1477" s="9">
        <v>42362</v>
      </c>
    </row>
    <row r="1478" spans="1:4">
      <c r="A1478" t="s">
        <v>7</v>
      </c>
      <c r="B1478" t="s">
        <v>186</v>
      </c>
      <c r="C1478" s="8">
        <v>46147</v>
      </c>
      <c r="D1478" s="9">
        <v>15702</v>
      </c>
    </row>
    <row r="1479" spans="1:4">
      <c r="A1479" t="s">
        <v>7</v>
      </c>
      <c r="B1479" t="s">
        <v>267</v>
      </c>
      <c r="C1479" s="8">
        <v>46147</v>
      </c>
      <c r="D1479" s="9">
        <v>27002</v>
      </c>
    </row>
    <row r="1480" spans="1:4">
      <c r="A1480" t="s">
        <v>9</v>
      </c>
      <c r="B1480" t="s">
        <v>283</v>
      </c>
      <c r="C1480" s="8">
        <v>46147</v>
      </c>
      <c r="D1480" s="9">
        <v>40198</v>
      </c>
    </row>
    <row r="1481" spans="1:4">
      <c r="A1481" t="s">
        <v>9</v>
      </c>
      <c r="B1481" t="s">
        <v>78</v>
      </c>
      <c r="C1481" s="8">
        <v>46147</v>
      </c>
      <c r="D1481" s="9">
        <v>54137</v>
      </c>
    </row>
    <row r="1482" spans="1:4">
      <c r="A1482" t="s">
        <v>5</v>
      </c>
      <c r="B1482" t="s">
        <v>93</v>
      </c>
      <c r="C1482" s="8">
        <v>46147</v>
      </c>
      <c r="D1482" s="9">
        <v>45215</v>
      </c>
    </row>
    <row r="1483" spans="1:4">
      <c r="A1483" t="s">
        <v>5</v>
      </c>
      <c r="B1483" t="s">
        <v>242</v>
      </c>
      <c r="C1483" s="8">
        <v>46147</v>
      </c>
      <c r="D1483" s="9">
        <v>45272</v>
      </c>
    </row>
    <row r="1484" spans="1:4">
      <c r="A1484" t="s">
        <v>5</v>
      </c>
      <c r="B1484" t="s">
        <v>197</v>
      </c>
      <c r="C1484" s="8">
        <v>46147</v>
      </c>
      <c r="D1484" s="9">
        <v>39379</v>
      </c>
    </row>
    <row r="1485" spans="1:4">
      <c r="A1485" t="s">
        <v>5</v>
      </c>
      <c r="B1485" t="s">
        <v>167</v>
      </c>
      <c r="C1485" s="8">
        <v>46147</v>
      </c>
      <c r="D1485" s="9">
        <v>43705</v>
      </c>
    </row>
    <row r="1486" spans="1:4">
      <c r="A1486" t="s">
        <v>30</v>
      </c>
      <c r="B1486" t="s">
        <v>255</v>
      </c>
      <c r="C1486" s="8">
        <v>46148</v>
      </c>
      <c r="D1486" s="9">
        <v>12777</v>
      </c>
    </row>
    <row r="1487" spans="1:4">
      <c r="A1487" t="s">
        <v>7</v>
      </c>
      <c r="B1487" t="s">
        <v>275</v>
      </c>
      <c r="C1487" s="8">
        <v>46148</v>
      </c>
      <c r="D1487" s="9">
        <v>31434</v>
      </c>
    </row>
    <row r="1488" spans="1:4">
      <c r="A1488" t="s">
        <v>5</v>
      </c>
      <c r="B1488" t="s">
        <v>93</v>
      </c>
      <c r="C1488" s="8">
        <v>46148</v>
      </c>
      <c r="D1488" s="9">
        <v>33872</v>
      </c>
    </row>
    <row r="1489" spans="1:4">
      <c r="A1489" t="s">
        <v>5</v>
      </c>
      <c r="B1489" t="s">
        <v>94</v>
      </c>
      <c r="C1489" s="8">
        <v>46148</v>
      </c>
      <c r="D1489" s="9">
        <v>44598</v>
      </c>
    </row>
    <row r="1490" spans="1:4">
      <c r="A1490" t="s">
        <v>5</v>
      </c>
      <c r="B1490" t="s">
        <v>196</v>
      </c>
      <c r="C1490" s="8">
        <v>46148</v>
      </c>
      <c r="D1490" s="9">
        <v>36780</v>
      </c>
    </row>
    <row r="1491" spans="1:4">
      <c r="A1491" t="s">
        <v>5</v>
      </c>
      <c r="B1491" t="s">
        <v>167</v>
      </c>
      <c r="C1491" s="8">
        <v>46148</v>
      </c>
      <c r="D1491" s="9">
        <v>43881</v>
      </c>
    </row>
    <row r="1492" spans="1:4">
      <c r="A1492" t="s">
        <v>5</v>
      </c>
      <c r="B1492" t="s">
        <v>168</v>
      </c>
      <c r="C1492" s="8">
        <v>46148</v>
      </c>
      <c r="D1492" s="9">
        <v>45171</v>
      </c>
    </row>
    <row r="1493" spans="1:4">
      <c r="A1493" t="s">
        <v>5</v>
      </c>
      <c r="B1493" t="s">
        <v>159</v>
      </c>
      <c r="C1493" s="8">
        <v>46148</v>
      </c>
      <c r="D1493" s="9">
        <v>54631</v>
      </c>
    </row>
    <row r="1494" spans="1:4">
      <c r="A1494" t="s">
        <v>5</v>
      </c>
      <c r="B1494" t="s">
        <v>105</v>
      </c>
      <c r="C1494" s="8">
        <v>46148</v>
      </c>
      <c r="D1494" s="9">
        <v>37868</v>
      </c>
    </row>
    <row r="1495" spans="1:4">
      <c r="A1495" t="s">
        <v>4</v>
      </c>
      <c r="B1495" t="s">
        <v>238</v>
      </c>
      <c r="C1495" s="8">
        <v>46149</v>
      </c>
      <c r="D1495" s="9">
        <v>33396</v>
      </c>
    </row>
    <row r="1496" spans="1:4">
      <c r="A1496" t="s">
        <v>4</v>
      </c>
      <c r="B1496" t="s">
        <v>193</v>
      </c>
      <c r="C1496" s="8">
        <v>46149</v>
      </c>
      <c r="D1496" s="9">
        <v>37172</v>
      </c>
    </row>
    <row r="1497" spans="1:4">
      <c r="A1497" t="s">
        <v>4</v>
      </c>
      <c r="B1497" t="s">
        <v>214</v>
      </c>
      <c r="C1497" s="8">
        <v>46149</v>
      </c>
      <c r="D1497" s="9">
        <v>49787</v>
      </c>
    </row>
    <row r="1498" spans="1:4">
      <c r="A1498" t="s">
        <v>6</v>
      </c>
      <c r="B1498" t="s">
        <v>100</v>
      </c>
      <c r="C1498" s="8">
        <v>46149</v>
      </c>
      <c r="D1498" s="9">
        <v>26921</v>
      </c>
    </row>
    <row r="1499" spans="1:4">
      <c r="A1499" t="s">
        <v>7</v>
      </c>
      <c r="B1499" t="s">
        <v>90</v>
      </c>
      <c r="C1499" s="8">
        <v>46149</v>
      </c>
      <c r="D1499" s="9">
        <v>8674</v>
      </c>
    </row>
    <row r="1500" spans="1:4">
      <c r="A1500" t="s">
        <v>9</v>
      </c>
      <c r="B1500" t="s">
        <v>101</v>
      </c>
      <c r="C1500" s="8">
        <v>46149</v>
      </c>
      <c r="D1500" s="9">
        <v>42155</v>
      </c>
    </row>
    <row r="1501" spans="1:4">
      <c r="A1501" t="s">
        <v>9</v>
      </c>
      <c r="B1501" t="s">
        <v>173</v>
      </c>
      <c r="C1501" s="8">
        <v>46149</v>
      </c>
      <c r="D1501" s="9">
        <v>39294</v>
      </c>
    </row>
    <row r="1502" spans="1:4">
      <c r="A1502" t="s">
        <v>9</v>
      </c>
      <c r="B1502" t="s">
        <v>79</v>
      </c>
      <c r="C1502" s="8">
        <v>46149</v>
      </c>
      <c r="D1502" s="9">
        <v>50646</v>
      </c>
    </row>
    <row r="1503" spans="1:4">
      <c r="A1503" t="s">
        <v>5</v>
      </c>
      <c r="B1503" t="s">
        <v>184</v>
      </c>
      <c r="C1503" s="8">
        <v>46149</v>
      </c>
      <c r="D1503" s="9">
        <v>39490</v>
      </c>
    </row>
    <row r="1504" spans="1:4">
      <c r="A1504" t="s">
        <v>26</v>
      </c>
      <c r="B1504" t="s">
        <v>232</v>
      </c>
      <c r="C1504" s="8">
        <v>46150</v>
      </c>
      <c r="D1504" s="9">
        <v>17639</v>
      </c>
    </row>
    <row r="1505" spans="1:4">
      <c r="A1505" t="s">
        <v>26</v>
      </c>
      <c r="B1505" t="s">
        <v>251</v>
      </c>
      <c r="C1505" s="8">
        <v>46150</v>
      </c>
      <c r="D1505" s="9">
        <v>17947</v>
      </c>
    </row>
    <row r="1506" spans="1:4">
      <c r="A1506" t="s">
        <v>8</v>
      </c>
      <c r="B1506" t="s">
        <v>67</v>
      </c>
      <c r="C1506" s="8">
        <v>46150</v>
      </c>
      <c r="D1506" s="9">
        <v>16595</v>
      </c>
    </row>
    <row r="1507" spans="1:4">
      <c r="A1507" t="s">
        <v>34</v>
      </c>
      <c r="B1507" t="s">
        <v>215</v>
      </c>
      <c r="C1507" s="8">
        <v>46150</v>
      </c>
      <c r="D1507" s="9">
        <v>31750</v>
      </c>
    </row>
    <row r="1508" spans="1:4">
      <c r="A1508" t="s">
        <v>29</v>
      </c>
      <c r="B1508" t="s">
        <v>226</v>
      </c>
      <c r="C1508" s="8">
        <v>46150</v>
      </c>
      <c r="D1508" s="9">
        <v>15144</v>
      </c>
    </row>
    <row r="1509" spans="1:4">
      <c r="A1509" t="s">
        <v>7</v>
      </c>
      <c r="B1509" t="s">
        <v>54</v>
      </c>
      <c r="C1509" s="8">
        <v>46150</v>
      </c>
      <c r="D1509" s="9">
        <v>34013</v>
      </c>
    </row>
    <row r="1510" spans="1:4">
      <c r="A1510" t="s">
        <v>7</v>
      </c>
      <c r="B1510" t="s">
        <v>185</v>
      </c>
      <c r="C1510" s="8">
        <v>46150</v>
      </c>
      <c r="D1510" s="9">
        <v>43515</v>
      </c>
    </row>
    <row r="1511" spans="1:4">
      <c r="A1511" t="s">
        <v>9</v>
      </c>
      <c r="B1511" t="s">
        <v>136</v>
      </c>
      <c r="C1511" s="8">
        <v>46150</v>
      </c>
      <c r="D1511" s="9">
        <v>26269</v>
      </c>
    </row>
    <row r="1512" spans="1:4">
      <c r="A1512" t="s">
        <v>9</v>
      </c>
      <c r="B1512" t="s">
        <v>130</v>
      </c>
      <c r="C1512" s="8">
        <v>46150</v>
      </c>
      <c r="D1512" s="9">
        <v>42017</v>
      </c>
    </row>
    <row r="1513" spans="1:4">
      <c r="A1513" t="s">
        <v>9</v>
      </c>
      <c r="B1513" t="s">
        <v>130</v>
      </c>
      <c r="C1513" s="8">
        <v>46150</v>
      </c>
      <c r="D1513" s="9">
        <v>39225</v>
      </c>
    </row>
    <row r="1514" spans="1:4">
      <c r="A1514" t="s">
        <v>9</v>
      </c>
      <c r="B1514" t="s">
        <v>187</v>
      </c>
      <c r="C1514" s="8">
        <v>46150</v>
      </c>
      <c r="D1514" s="9">
        <v>32703</v>
      </c>
    </row>
    <row r="1515" spans="1:4">
      <c r="A1515" t="s">
        <v>9</v>
      </c>
      <c r="B1515" t="s">
        <v>150</v>
      </c>
      <c r="C1515" s="8">
        <v>46150</v>
      </c>
      <c r="D1515" s="9">
        <v>27915</v>
      </c>
    </row>
    <row r="1516" spans="1:4">
      <c r="A1516" t="s">
        <v>5</v>
      </c>
      <c r="B1516" t="s">
        <v>96</v>
      </c>
      <c r="C1516" s="8">
        <v>46150</v>
      </c>
      <c r="D1516" s="9">
        <v>38455</v>
      </c>
    </row>
    <row r="1517" spans="1:4">
      <c r="A1517" t="s">
        <v>5</v>
      </c>
      <c r="B1517" t="s">
        <v>190</v>
      </c>
      <c r="C1517" s="8">
        <v>46150</v>
      </c>
      <c r="D1517" s="9">
        <v>31325</v>
      </c>
    </row>
    <row r="1518" spans="1:4">
      <c r="A1518" t="s">
        <v>5</v>
      </c>
      <c r="B1518" t="s">
        <v>125</v>
      </c>
      <c r="C1518" s="8">
        <v>46150</v>
      </c>
      <c r="D1518" s="9">
        <v>30439</v>
      </c>
    </row>
    <row r="1519" spans="1:4">
      <c r="A1519" t="s">
        <v>4</v>
      </c>
      <c r="B1519" t="s">
        <v>229</v>
      </c>
      <c r="C1519" s="8">
        <v>46151</v>
      </c>
      <c r="D1519" s="9">
        <v>37670</v>
      </c>
    </row>
    <row r="1520" spans="1:4">
      <c r="A1520" t="s">
        <v>4</v>
      </c>
      <c r="B1520" t="s">
        <v>201</v>
      </c>
      <c r="C1520" s="8">
        <v>46151</v>
      </c>
      <c r="D1520" s="9">
        <v>34439</v>
      </c>
    </row>
    <row r="1521" spans="1:4">
      <c r="A1521" t="s">
        <v>25</v>
      </c>
      <c r="B1521" t="s">
        <v>162</v>
      </c>
      <c r="C1521" s="8">
        <v>46151</v>
      </c>
      <c r="D1521" s="9">
        <v>21346</v>
      </c>
    </row>
    <row r="1522" spans="1:4">
      <c r="A1522" t="s">
        <v>30</v>
      </c>
      <c r="B1522" t="s">
        <v>157</v>
      </c>
      <c r="C1522" s="8">
        <v>46151</v>
      </c>
      <c r="D1522" s="9">
        <v>15302</v>
      </c>
    </row>
    <row r="1523" spans="1:4">
      <c r="A1523" t="s">
        <v>8</v>
      </c>
      <c r="B1523" t="s">
        <v>143</v>
      </c>
      <c r="C1523" s="8">
        <v>46151</v>
      </c>
      <c r="D1523" s="9">
        <v>9554</v>
      </c>
    </row>
    <row r="1524" spans="1:4">
      <c r="A1524" t="s">
        <v>7</v>
      </c>
      <c r="B1524" t="s">
        <v>114</v>
      </c>
      <c r="C1524" s="8">
        <v>46151</v>
      </c>
      <c r="D1524" s="9">
        <v>42221</v>
      </c>
    </row>
    <row r="1525" spans="1:4">
      <c r="A1525" t="s">
        <v>7</v>
      </c>
      <c r="B1525" t="s">
        <v>164</v>
      </c>
      <c r="C1525" s="8">
        <v>46151</v>
      </c>
      <c r="D1525" s="9">
        <v>26863</v>
      </c>
    </row>
    <row r="1526" spans="1:4">
      <c r="A1526" t="s">
        <v>9</v>
      </c>
      <c r="B1526" t="s">
        <v>47</v>
      </c>
      <c r="C1526" s="8">
        <v>46151</v>
      </c>
      <c r="D1526" s="9">
        <v>23561</v>
      </c>
    </row>
    <row r="1527" spans="1:4">
      <c r="A1527" t="s">
        <v>9</v>
      </c>
      <c r="B1527" t="s">
        <v>137</v>
      </c>
      <c r="C1527" s="8">
        <v>46151</v>
      </c>
      <c r="D1527" s="9">
        <v>27194</v>
      </c>
    </row>
    <row r="1528" spans="1:4">
      <c r="A1528" t="s">
        <v>5</v>
      </c>
      <c r="B1528" t="s">
        <v>197</v>
      </c>
      <c r="C1528" s="8">
        <v>46151</v>
      </c>
      <c r="D1528" s="9">
        <v>40591</v>
      </c>
    </row>
    <row r="1529" spans="1:4">
      <c r="A1529" t="s">
        <v>27</v>
      </c>
      <c r="B1529" t="s">
        <v>265</v>
      </c>
      <c r="C1529" s="8">
        <v>46152</v>
      </c>
      <c r="D1529" s="9">
        <v>19537</v>
      </c>
    </row>
    <row r="1530" spans="1:4">
      <c r="A1530" t="s">
        <v>25</v>
      </c>
      <c r="B1530" t="s">
        <v>72</v>
      </c>
      <c r="C1530" s="8">
        <v>46152</v>
      </c>
      <c r="D1530" s="9">
        <v>21948</v>
      </c>
    </row>
    <row r="1531" spans="1:4">
      <c r="A1531" t="s">
        <v>25</v>
      </c>
      <c r="B1531" t="s">
        <v>120</v>
      </c>
      <c r="C1531" s="8">
        <v>46152</v>
      </c>
      <c r="D1531" s="9">
        <v>15991</v>
      </c>
    </row>
    <row r="1532" spans="1:4">
      <c r="A1532" t="s">
        <v>6</v>
      </c>
      <c r="B1532" t="s">
        <v>73</v>
      </c>
      <c r="C1532" s="8">
        <v>46152</v>
      </c>
      <c r="D1532" s="9">
        <v>7855</v>
      </c>
    </row>
    <row r="1533" spans="1:4">
      <c r="A1533" t="s">
        <v>9</v>
      </c>
      <c r="B1533" t="s">
        <v>249</v>
      </c>
      <c r="C1533" s="8">
        <v>46152</v>
      </c>
      <c r="D1533" s="9">
        <v>36582</v>
      </c>
    </row>
    <row r="1534" spans="1:4">
      <c r="A1534" t="s">
        <v>9</v>
      </c>
      <c r="B1534" t="s">
        <v>166</v>
      </c>
      <c r="C1534" s="8">
        <v>46152</v>
      </c>
      <c r="D1534" s="9">
        <v>29830</v>
      </c>
    </row>
    <row r="1535" spans="1:4">
      <c r="A1535" t="s">
        <v>5</v>
      </c>
      <c r="B1535" t="s">
        <v>117</v>
      </c>
      <c r="C1535" s="8">
        <v>46152</v>
      </c>
      <c r="D1535" s="9">
        <v>35000</v>
      </c>
    </row>
    <row r="1536" spans="1:4">
      <c r="A1536" t="s">
        <v>5</v>
      </c>
      <c r="B1536" t="s">
        <v>141</v>
      </c>
      <c r="C1536" s="8">
        <v>46152</v>
      </c>
      <c r="D1536" s="9">
        <v>31877</v>
      </c>
    </row>
    <row r="1537" spans="1:4">
      <c r="A1537" t="s">
        <v>25</v>
      </c>
      <c r="B1537" t="s">
        <v>261</v>
      </c>
      <c r="C1537" s="8">
        <v>46153</v>
      </c>
      <c r="D1537" s="9">
        <v>16694</v>
      </c>
    </row>
    <row r="1538" spans="1:4">
      <c r="A1538" t="s">
        <v>26</v>
      </c>
      <c r="B1538" t="s">
        <v>252</v>
      </c>
      <c r="C1538" s="8">
        <v>46153</v>
      </c>
      <c r="D1538" s="9">
        <v>5200</v>
      </c>
    </row>
    <row r="1539" spans="1:4">
      <c r="A1539" t="s">
        <v>6</v>
      </c>
      <c r="B1539" t="s">
        <v>74</v>
      </c>
      <c r="C1539" s="8">
        <v>46153</v>
      </c>
      <c r="D1539" s="9">
        <v>16381</v>
      </c>
    </row>
    <row r="1540" spans="1:4">
      <c r="A1540" t="s">
        <v>7</v>
      </c>
      <c r="B1540" t="s">
        <v>145</v>
      </c>
      <c r="C1540" s="8">
        <v>46153</v>
      </c>
      <c r="D1540" s="9">
        <v>28525</v>
      </c>
    </row>
    <row r="1541" spans="1:4">
      <c r="A1541" t="s">
        <v>9</v>
      </c>
      <c r="B1541" t="s">
        <v>51</v>
      </c>
      <c r="C1541" s="8">
        <v>46153</v>
      </c>
      <c r="D1541" s="9">
        <v>41823</v>
      </c>
    </row>
    <row r="1542" spans="1:4">
      <c r="A1542" t="s">
        <v>9</v>
      </c>
      <c r="B1542" t="s">
        <v>258</v>
      </c>
      <c r="C1542" s="8">
        <v>46153</v>
      </c>
      <c r="D1542" s="9">
        <v>35055</v>
      </c>
    </row>
    <row r="1543" spans="1:4">
      <c r="A1543" t="s">
        <v>5</v>
      </c>
      <c r="B1543" t="s">
        <v>221</v>
      </c>
      <c r="C1543" s="8">
        <v>46153</v>
      </c>
      <c r="D1543" s="9">
        <v>51276</v>
      </c>
    </row>
    <row r="1544" spans="1:4">
      <c r="A1544" t="s">
        <v>5</v>
      </c>
      <c r="B1544" t="s">
        <v>158</v>
      </c>
      <c r="C1544" s="8">
        <v>46153</v>
      </c>
      <c r="D1544" s="9">
        <v>33232</v>
      </c>
    </row>
    <row r="1545" spans="1:4">
      <c r="A1545" t="s">
        <v>5</v>
      </c>
      <c r="B1545" t="s">
        <v>138</v>
      </c>
      <c r="C1545" s="8">
        <v>46153</v>
      </c>
      <c r="D1545" s="9">
        <v>36356</v>
      </c>
    </row>
    <row r="1546" spans="1:4">
      <c r="A1546" t="s">
        <v>4</v>
      </c>
      <c r="B1546" t="s">
        <v>161</v>
      </c>
      <c r="C1546" s="8">
        <v>46154</v>
      </c>
      <c r="D1546" s="9">
        <v>17918</v>
      </c>
    </row>
    <row r="1547" spans="1:4">
      <c r="A1547" t="s">
        <v>26</v>
      </c>
      <c r="B1547" t="s">
        <v>83</v>
      </c>
      <c r="C1547" s="8">
        <v>46154</v>
      </c>
      <c r="D1547" s="9">
        <v>18858</v>
      </c>
    </row>
    <row r="1548" spans="1:4">
      <c r="A1548" t="s">
        <v>32</v>
      </c>
      <c r="B1548" t="s">
        <v>233</v>
      </c>
      <c r="C1548" s="8">
        <v>46154</v>
      </c>
      <c r="D1548" s="9">
        <v>5200</v>
      </c>
    </row>
    <row r="1549" spans="1:4">
      <c r="A1549" t="s">
        <v>6</v>
      </c>
      <c r="B1549" t="s">
        <v>177</v>
      </c>
      <c r="C1549" s="8">
        <v>46154</v>
      </c>
      <c r="D1549" s="9">
        <v>27694</v>
      </c>
    </row>
    <row r="1550" spans="1:4">
      <c r="A1550" t="s">
        <v>29</v>
      </c>
      <c r="B1550" t="s">
        <v>165</v>
      </c>
      <c r="C1550" s="8">
        <v>46154</v>
      </c>
      <c r="D1550" s="9">
        <v>13165</v>
      </c>
    </row>
    <row r="1551" spans="1:4">
      <c r="A1551" t="s">
        <v>7</v>
      </c>
      <c r="B1551" t="s">
        <v>257</v>
      </c>
      <c r="C1551" s="8">
        <v>46154</v>
      </c>
      <c r="D1551" s="9">
        <v>21381</v>
      </c>
    </row>
    <row r="1552" spans="1:4">
      <c r="A1552" t="s">
        <v>9</v>
      </c>
      <c r="B1552" t="s">
        <v>144</v>
      </c>
      <c r="C1552" s="8">
        <v>46154</v>
      </c>
      <c r="D1552" s="9">
        <v>24003</v>
      </c>
    </row>
    <row r="1553" spans="1:4">
      <c r="A1553" t="s">
        <v>9</v>
      </c>
      <c r="B1553" t="s">
        <v>131</v>
      </c>
      <c r="C1553" s="8">
        <v>46154</v>
      </c>
      <c r="D1553" s="9">
        <v>29932</v>
      </c>
    </row>
    <row r="1554" spans="1:4">
      <c r="A1554" t="s">
        <v>5</v>
      </c>
      <c r="B1554" t="s">
        <v>181</v>
      </c>
      <c r="C1554" s="8">
        <v>46154</v>
      </c>
      <c r="D1554" s="9">
        <v>24963</v>
      </c>
    </row>
    <row r="1555" spans="1:4">
      <c r="A1555" t="s">
        <v>5</v>
      </c>
      <c r="B1555" t="s">
        <v>183</v>
      </c>
      <c r="C1555" s="8">
        <v>46154</v>
      </c>
      <c r="D1555" s="9">
        <v>40139</v>
      </c>
    </row>
    <row r="1556" spans="1:4">
      <c r="A1556" t="s">
        <v>27</v>
      </c>
      <c r="B1556" t="s">
        <v>270</v>
      </c>
      <c r="C1556" s="8">
        <v>46155</v>
      </c>
      <c r="D1556" s="9">
        <v>15238</v>
      </c>
    </row>
    <row r="1557" spans="1:4">
      <c r="A1557" t="s">
        <v>4</v>
      </c>
      <c r="B1557" t="s">
        <v>91</v>
      </c>
      <c r="C1557" s="8">
        <v>46155</v>
      </c>
      <c r="D1557" s="9">
        <v>40855</v>
      </c>
    </row>
    <row r="1558" spans="1:4">
      <c r="A1558" t="s">
        <v>4</v>
      </c>
      <c r="B1558" t="s">
        <v>61</v>
      </c>
      <c r="C1558" s="8">
        <v>46155</v>
      </c>
      <c r="D1558" s="9">
        <v>35198</v>
      </c>
    </row>
    <row r="1559" spans="1:4">
      <c r="A1559" t="s">
        <v>4</v>
      </c>
      <c r="B1559" t="s">
        <v>212</v>
      </c>
      <c r="C1559" s="8">
        <v>46155</v>
      </c>
      <c r="D1559" s="9">
        <v>36597</v>
      </c>
    </row>
    <row r="1560" spans="1:4">
      <c r="A1560" t="s">
        <v>28</v>
      </c>
      <c r="B1560" t="s">
        <v>152</v>
      </c>
      <c r="C1560" s="8">
        <v>46155</v>
      </c>
      <c r="D1560" s="9">
        <v>19048</v>
      </c>
    </row>
    <row r="1561" spans="1:4">
      <c r="A1561" t="s">
        <v>6</v>
      </c>
      <c r="B1561" t="s">
        <v>216</v>
      </c>
      <c r="C1561" s="8">
        <v>46155</v>
      </c>
      <c r="D1561" s="9">
        <v>11285</v>
      </c>
    </row>
    <row r="1562" spans="1:4">
      <c r="A1562" t="s">
        <v>9</v>
      </c>
      <c r="B1562" t="s">
        <v>158</v>
      </c>
      <c r="C1562" s="8">
        <v>46155</v>
      </c>
      <c r="D1562" s="9">
        <v>23979</v>
      </c>
    </row>
    <row r="1563" spans="1:4">
      <c r="A1563" t="s">
        <v>5</v>
      </c>
      <c r="B1563" t="s">
        <v>124</v>
      </c>
      <c r="C1563" s="8">
        <v>46155</v>
      </c>
      <c r="D1563" s="9">
        <v>43037</v>
      </c>
    </row>
    <row r="1564" spans="1:4">
      <c r="A1564" t="s">
        <v>5</v>
      </c>
      <c r="B1564" t="s">
        <v>190</v>
      </c>
      <c r="C1564" s="8">
        <v>46155</v>
      </c>
      <c r="D1564" s="9">
        <v>31595</v>
      </c>
    </row>
    <row r="1565" spans="1:4">
      <c r="A1565" t="s">
        <v>5</v>
      </c>
      <c r="B1565" t="s">
        <v>168</v>
      </c>
      <c r="C1565" s="8">
        <v>46155</v>
      </c>
      <c r="D1565" s="9">
        <v>39264</v>
      </c>
    </row>
    <row r="1566" spans="1:4">
      <c r="A1566" t="s">
        <v>5</v>
      </c>
      <c r="B1566" t="s">
        <v>53</v>
      </c>
      <c r="C1566" s="8">
        <v>46155</v>
      </c>
      <c r="D1566" s="9">
        <v>54333</v>
      </c>
    </row>
    <row r="1567" spans="1:4">
      <c r="A1567" t="s">
        <v>5</v>
      </c>
      <c r="B1567" t="s">
        <v>146</v>
      </c>
      <c r="C1567" s="8">
        <v>46155</v>
      </c>
      <c r="D1567" s="9">
        <v>60079</v>
      </c>
    </row>
    <row r="1568" spans="1:4">
      <c r="A1568" t="s">
        <v>4</v>
      </c>
      <c r="B1568" t="s">
        <v>151</v>
      </c>
      <c r="C1568" s="8">
        <v>46156</v>
      </c>
      <c r="D1568" s="9">
        <v>33464</v>
      </c>
    </row>
    <row r="1569" spans="1:4">
      <c r="A1569" t="s">
        <v>4</v>
      </c>
      <c r="B1569" t="s">
        <v>230</v>
      </c>
      <c r="C1569" s="8">
        <v>46156</v>
      </c>
      <c r="D1569" s="9">
        <v>28339</v>
      </c>
    </row>
    <row r="1570" spans="1:4">
      <c r="A1570" t="s">
        <v>28</v>
      </c>
      <c r="B1570" t="s">
        <v>121</v>
      </c>
      <c r="C1570" s="8">
        <v>46156</v>
      </c>
      <c r="D1570" s="9">
        <v>19861</v>
      </c>
    </row>
    <row r="1571" spans="1:4">
      <c r="A1571" t="s">
        <v>32</v>
      </c>
      <c r="B1571" t="s">
        <v>224</v>
      </c>
      <c r="C1571" s="8">
        <v>46156</v>
      </c>
      <c r="D1571" s="9">
        <v>15202</v>
      </c>
    </row>
    <row r="1572" spans="1:4">
      <c r="A1572" t="s">
        <v>6</v>
      </c>
      <c r="B1572" t="s">
        <v>200</v>
      </c>
      <c r="C1572" s="8">
        <v>46156</v>
      </c>
      <c r="D1572" s="9">
        <v>18653</v>
      </c>
    </row>
    <row r="1573" spans="1:4">
      <c r="A1573" t="s">
        <v>7</v>
      </c>
      <c r="B1573" t="s">
        <v>113</v>
      </c>
      <c r="C1573" s="8">
        <v>46156</v>
      </c>
      <c r="D1573" s="9">
        <v>26970</v>
      </c>
    </row>
    <row r="1574" spans="1:4">
      <c r="A1574" t="s">
        <v>7</v>
      </c>
      <c r="B1574" t="s">
        <v>276</v>
      </c>
      <c r="C1574" s="8">
        <v>46156</v>
      </c>
      <c r="D1574" s="9">
        <v>32414</v>
      </c>
    </row>
    <row r="1575" spans="1:4">
      <c r="A1575" t="s">
        <v>7</v>
      </c>
      <c r="B1575" t="s">
        <v>282</v>
      </c>
      <c r="C1575" s="8">
        <v>46156</v>
      </c>
      <c r="D1575" s="9">
        <v>35371</v>
      </c>
    </row>
    <row r="1576" spans="1:4">
      <c r="A1576" t="s">
        <v>9</v>
      </c>
      <c r="B1576" t="s">
        <v>96</v>
      </c>
      <c r="C1576" s="8">
        <v>46156</v>
      </c>
      <c r="D1576" s="9">
        <v>40387</v>
      </c>
    </row>
    <row r="1577" spans="1:4">
      <c r="A1577" t="s">
        <v>9</v>
      </c>
      <c r="B1577" t="s">
        <v>228</v>
      </c>
      <c r="C1577" s="8">
        <v>46156</v>
      </c>
      <c r="D1577" s="9">
        <v>40833</v>
      </c>
    </row>
    <row r="1578" spans="1:4">
      <c r="A1578" t="s">
        <v>5</v>
      </c>
      <c r="B1578" t="s">
        <v>96</v>
      </c>
      <c r="C1578" s="8">
        <v>46156</v>
      </c>
      <c r="D1578" s="9">
        <v>33516</v>
      </c>
    </row>
    <row r="1579" spans="1:4">
      <c r="A1579" t="s">
        <v>5</v>
      </c>
      <c r="B1579" t="s">
        <v>159</v>
      </c>
      <c r="C1579" s="8">
        <v>46156</v>
      </c>
      <c r="D1579" s="9">
        <v>45371</v>
      </c>
    </row>
    <row r="1580" spans="1:4">
      <c r="A1580" t="s">
        <v>5</v>
      </c>
      <c r="B1580" t="s">
        <v>174</v>
      </c>
      <c r="C1580" s="8">
        <v>46156</v>
      </c>
      <c r="D1580" s="9">
        <v>41763</v>
      </c>
    </row>
    <row r="1581" spans="1:4">
      <c r="A1581" t="s">
        <v>4</v>
      </c>
      <c r="B1581" t="s">
        <v>124</v>
      </c>
      <c r="C1581" s="8">
        <v>46157</v>
      </c>
      <c r="D1581" s="9">
        <v>44864</v>
      </c>
    </row>
    <row r="1582" spans="1:4">
      <c r="A1582" t="s">
        <v>26</v>
      </c>
      <c r="B1582" t="s">
        <v>223</v>
      </c>
      <c r="C1582" s="8">
        <v>46157</v>
      </c>
      <c r="D1582" s="9">
        <v>11779</v>
      </c>
    </row>
    <row r="1583" spans="1:4">
      <c r="A1583" t="s">
        <v>30</v>
      </c>
      <c r="B1583" t="s">
        <v>207</v>
      </c>
      <c r="C1583" s="8">
        <v>46157</v>
      </c>
      <c r="D1583" s="9">
        <v>15722</v>
      </c>
    </row>
    <row r="1584" spans="1:4">
      <c r="A1584" t="s">
        <v>8</v>
      </c>
      <c r="B1584" t="s">
        <v>148</v>
      </c>
      <c r="C1584" s="8">
        <v>46157</v>
      </c>
      <c r="D1584" s="9">
        <v>18971</v>
      </c>
    </row>
    <row r="1585" spans="1:4">
      <c r="A1585" t="s">
        <v>6</v>
      </c>
      <c r="B1585" t="s">
        <v>247</v>
      </c>
      <c r="C1585" s="8">
        <v>46157</v>
      </c>
      <c r="D1585" s="9">
        <v>26045</v>
      </c>
    </row>
    <row r="1586" spans="1:4">
      <c r="A1586" t="s">
        <v>33</v>
      </c>
      <c r="B1586" t="s">
        <v>134</v>
      </c>
      <c r="C1586" s="8">
        <v>46157</v>
      </c>
      <c r="D1586" s="9">
        <v>14544</v>
      </c>
    </row>
    <row r="1587" spans="1:4">
      <c r="A1587" t="s">
        <v>9</v>
      </c>
      <c r="B1587" t="s">
        <v>115</v>
      </c>
      <c r="C1587" s="8">
        <v>46157</v>
      </c>
      <c r="D1587" s="9">
        <v>44465</v>
      </c>
    </row>
    <row r="1588" spans="1:4">
      <c r="A1588" t="s">
        <v>9</v>
      </c>
      <c r="B1588" t="s">
        <v>131</v>
      </c>
      <c r="C1588" s="8">
        <v>46157</v>
      </c>
      <c r="D1588" s="9">
        <v>27024</v>
      </c>
    </row>
    <row r="1589" spans="1:4">
      <c r="A1589" t="s">
        <v>5</v>
      </c>
      <c r="B1589" t="s">
        <v>221</v>
      </c>
      <c r="C1589" s="8">
        <v>46157</v>
      </c>
      <c r="D1589" s="9">
        <v>38121</v>
      </c>
    </row>
    <row r="1590" spans="1:4">
      <c r="A1590" t="s">
        <v>5</v>
      </c>
      <c r="B1590" t="s">
        <v>104</v>
      </c>
      <c r="C1590" s="8">
        <v>46157</v>
      </c>
      <c r="D1590" s="9">
        <v>44531</v>
      </c>
    </row>
    <row r="1591" spans="1:4">
      <c r="A1591" t="s">
        <v>5</v>
      </c>
      <c r="B1591" t="s">
        <v>60</v>
      </c>
      <c r="C1591" s="8">
        <v>46157</v>
      </c>
      <c r="D1591" s="9">
        <v>55258</v>
      </c>
    </row>
    <row r="1592" spans="1:4">
      <c r="A1592" t="s">
        <v>4</v>
      </c>
      <c r="B1592" t="s">
        <v>189</v>
      </c>
      <c r="C1592" s="8">
        <v>46158</v>
      </c>
      <c r="D1592" s="9">
        <v>27775</v>
      </c>
    </row>
    <row r="1593" spans="1:4">
      <c r="A1593" t="s">
        <v>4</v>
      </c>
      <c r="B1593" t="s">
        <v>167</v>
      </c>
      <c r="C1593" s="8">
        <v>46158</v>
      </c>
      <c r="D1593" s="9">
        <v>35868</v>
      </c>
    </row>
    <row r="1594" spans="1:4">
      <c r="A1594" t="s">
        <v>30</v>
      </c>
      <c r="B1594" t="s">
        <v>156</v>
      </c>
      <c r="C1594" s="8">
        <v>46158</v>
      </c>
      <c r="D1594" s="9">
        <v>13618</v>
      </c>
    </row>
    <row r="1595" spans="1:4">
      <c r="A1595" t="s">
        <v>29</v>
      </c>
      <c r="B1595" t="s">
        <v>274</v>
      </c>
      <c r="C1595" s="8">
        <v>46158</v>
      </c>
      <c r="D1595" s="9">
        <v>29016</v>
      </c>
    </row>
    <row r="1596" spans="1:4">
      <c r="A1596" t="s">
        <v>5</v>
      </c>
      <c r="B1596" t="s">
        <v>94</v>
      </c>
      <c r="C1596" s="8">
        <v>46158</v>
      </c>
      <c r="D1596" s="9">
        <v>36760</v>
      </c>
    </row>
    <row r="1597" spans="1:4">
      <c r="A1597" t="s">
        <v>5</v>
      </c>
      <c r="B1597" t="s">
        <v>104</v>
      </c>
      <c r="C1597" s="8">
        <v>46158</v>
      </c>
      <c r="D1597" s="9">
        <v>58312</v>
      </c>
    </row>
    <row r="1598" spans="1:4">
      <c r="A1598" t="s">
        <v>5</v>
      </c>
      <c r="B1598" t="s">
        <v>196</v>
      </c>
      <c r="C1598" s="8">
        <v>46158</v>
      </c>
      <c r="D1598" s="9">
        <v>50051</v>
      </c>
    </row>
    <row r="1599" spans="1:4">
      <c r="A1599" t="s">
        <v>5</v>
      </c>
      <c r="B1599" t="s">
        <v>174</v>
      </c>
      <c r="C1599" s="8">
        <v>46158</v>
      </c>
      <c r="D1599" s="9">
        <v>47833</v>
      </c>
    </row>
    <row r="1600" spans="1:4">
      <c r="A1600" t="s">
        <v>5</v>
      </c>
      <c r="B1600" t="s">
        <v>174</v>
      </c>
      <c r="C1600" s="8">
        <v>46158</v>
      </c>
      <c r="D1600" s="9">
        <v>37663</v>
      </c>
    </row>
    <row r="1601" spans="1:4">
      <c r="A1601" t="s">
        <v>5</v>
      </c>
      <c r="B1601" t="s">
        <v>205</v>
      </c>
      <c r="C1601" s="8">
        <v>46158</v>
      </c>
      <c r="D1601" s="9">
        <v>42127</v>
      </c>
    </row>
    <row r="1602" spans="1:4">
      <c r="A1602" t="s">
        <v>4</v>
      </c>
      <c r="B1602" t="s">
        <v>209</v>
      </c>
      <c r="C1602" s="8">
        <v>46159</v>
      </c>
      <c r="D1602" s="9">
        <v>40737</v>
      </c>
    </row>
    <row r="1603" spans="1:4">
      <c r="A1603" t="s">
        <v>4</v>
      </c>
      <c r="B1603" t="s">
        <v>190</v>
      </c>
      <c r="C1603" s="8">
        <v>46159</v>
      </c>
      <c r="D1603" s="9">
        <v>31629</v>
      </c>
    </row>
    <row r="1604" spans="1:4">
      <c r="A1604" t="s">
        <v>4</v>
      </c>
      <c r="B1604" t="s">
        <v>213</v>
      </c>
      <c r="C1604" s="8">
        <v>46159</v>
      </c>
      <c r="D1604" s="9">
        <v>42939</v>
      </c>
    </row>
    <row r="1605" spans="1:4">
      <c r="A1605" t="s">
        <v>31</v>
      </c>
      <c r="B1605" t="s">
        <v>107</v>
      </c>
      <c r="C1605" s="8">
        <v>46159</v>
      </c>
      <c r="D1605" s="9">
        <v>30491</v>
      </c>
    </row>
    <row r="1606" spans="1:4">
      <c r="A1606" t="s">
        <v>8</v>
      </c>
      <c r="B1606" t="s">
        <v>219</v>
      </c>
      <c r="C1606" s="8">
        <v>46159</v>
      </c>
      <c r="D1606" s="9">
        <v>11331</v>
      </c>
    </row>
    <row r="1607" spans="1:4">
      <c r="A1607" t="s">
        <v>5</v>
      </c>
      <c r="B1607" t="s">
        <v>132</v>
      </c>
      <c r="C1607" s="8">
        <v>46159</v>
      </c>
      <c r="D1607" s="9">
        <v>25720</v>
      </c>
    </row>
    <row r="1608" spans="1:4">
      <c r="A1608" t="s">
        <v>5</v>
      </c>
      <c r="B1608" t="s">
        <v>118</v>
      </c>
      <c r="C1608" s="8">
        <v>46159</v>
      </c>
      <c r="D1608" s="9">
        <v>35548</v>
      </c>
    </row>
    <row r="1609" spans="1:4">
      <c r="A1609" t="s">
        <v>35</v>
      </c>
      <c r="B1609" t="s">
        <v>58</v>
      </c>
      <c r="C1609" s="8">
        <v>46160</v>
      </c>
      <c r="D1609" s="9">
        <v>11214</v>
      </c>
    </row>
    <row r="1610" spans="1:4">
      <c r="A1610" t="s">
        <v>35</v>
      </c>
      <c r="B1610" t="s">
        <v>210</v>
      </c>
      <c r="C1610" s="8">
        <v>46160</v>
      </c>
      <c r="D1610" s="9">
        <v>9258</v>
      </c>
    </row>
    <row r="1611" spans="1:4">
      <c r="A1611" t="s">
        <v>8</v>
      </c>
      <c r="B1611" t="s">
        <v>170</v>
      </c>
      <c r="C1611" s="8">
        <v>46160</v>
      </c>
      <c r="D1611" s="9">
        <v>21996</v>
      </c>
    </row>
    <row r="1612" spans="1:4">
      <c r="A1612" t="s">
        <v>6</v>
      </c>
      <c r="B1612" t="s">
        <v>176</v>
      </c>
      <c r="C1612" s="8">
        <v>46160</v>
      </c>
      <c r="D1612" s="9">
        <v>24327</v>
      </c>
    </row>
    <row r="1613" spans="1:4">
      <c r="A1613" t="s">
        <v>7</v>
      </c>
      <c r="B1613" t="s">
        <v>172</v>
      </c>
      <c r="C1613" s="8">
        <v>46160</v>
      </c>
      <c r="D1613" s="9">
        <v>33323</v>
      </c>
    </row>
    <row r="1614" spans="1:4">
      <c r="A1614" t="s">
        <v>7</v>
      </c>
      <c r="B1614" t="s">
        <v>76</v>
      </c>
      <c r="C1614" s="8">
        <v>46160</v>
      </c>
      <c r="D1614" s="9">
        <v>27349</v>
      </c>
    </row>
    <row r="1615" spans="1:4">
      <c r="A1615" t="s">
        <v>7</v>
      </c>
      <c r="B1615" t="s">
        <v>236</v>
      </c>
      <c r="C1615" s="8">
        <v>46160</v>
      </c>
      <c r="D1615" s="9">
        <v>28959</v>
      </c>
    </row>
    <row r="1616" spans="1:4">
      <c r="A1616" t="s">
        <v>9</v>
      </c>
      <c r="B1616" t="s">
        <v>145</v>
      </c>
      <c r="C1616" s="8">
        <v>46160</v>
      </c>
      <c r="D1616" s="9">
        <v>26481</v>
      </c>
    </row>
    <row r="1617" spans="1:4">
      <c r="A1617" t="s">
        <v>9</v>
      </c>
      <c r="B1617" t="s">
        <v>92</v>
      </c>
      <c r="C1617" s="8">
        <v>46160</v>
      </c>
      <c r="D1617" s="9">
        <v>33322</v>
      </c>
    </row>
    <row r="1618" spans="1:4">
      <c r="A1618" t="s">
        <v>5</v>
      </c>
      <c r="B1618" t="s">
        <v>96</v>
      </c>
      <c r="C1618" s="8">
        <v>46160</v>
      </c>
      <c r="D1618" s="9">
        <v>45707</v>
      </c>
    </row>
    <row r="1619" spans="1:4">
      <c r="A1619" t="s">
        <v>5</v>
      </c>
      <c r="B1619" t="s">
        <v>110</v>
      </c>
      <c r="C1619" s="8">
        <v>46160</v>
      </c>
      <c r="D1619" s="9">
        <v>51657</v>
      </c>
    </row>
    <row r="1620" spans="1:4">
      <c r="A1620" t="s">
        <v>5</v>
      </c>
      <c r="B1620" t="s">
        <v>181</v>
      </c>
      <c r="C1620" s="8">
        <v>46160</v>
      </c>
      <c r="D1620" s="9">
        <v>32862</v>
      </c>
    </row>
    <row r="1621" spans="1:4">
      <c r="A1621" t="s">
        <v>5</v>
      </c>
      <c r="B1621" t="s">
        <v>158</v>
      </c>
      <c r="C1621" s="8">
        <v>46160</v>
      </c>
      <c r="D1621" s="9">
        <v>35668</v>
      </c>
    </row>
    <row r="1622" spans="1:4">
      <c r="A1622" t="s">
        <v>5</v>
      </c>
      <c r="B1622" t="s">
        <v>104</v>
      </c>
      <c r="C1622" s="8">
        <v>46160</v>
      </c>
      <c r="D1622" s="9">
        <v>46660</v>
      </c>
    </row>
    <row r="1623" spans="1:4">
      <c r="A1623" t="s">
        <v>5</v>
      </c>
      <c r="B1623" t="s">
        <v>117</v>
      </c>
      <c r="C1623" s="8">
        <v>46160</v>
      </c>
      <c r="D1623" s="9">
        <v>46137</v>
      </c>
    </row>
    <row r="1624" spans="1:4">
      <c r="A1624" t="s">
        <v>5</v>
      </c>
      <c r="B1624" t="s">
        <v>117</v>
      </c>
      <c r="C1624" s="8">
        <v>46160</v>
      </c>
      <c r="D1624" s="9">
        <v>42613</v>
      </c>
    </row>
    <row r="1625" spans="1:4">
      <c r="A1625" t="s">
        <v>8</v>
      </c>
      <c r="B1625" t="s">
        <v>52</v>
      </c>
      <c r="C1625" s="8">
        <v>46161</v>
      </c>
      <c r="D1625" s="9">
        <v>21400</v>
      </c>
    </row>
    <row r="1626" spans="1:4">
      <c r="A1626" t="s">
        <v>6</v>
      </c>
      <c r="B1626" t="s">
        <v>203</v>
      </c>
      <c r="C1626" s="8">
        <v>46161</v>
      </c>
      <c r="D1626" s="9">
        <v>24353</v>
      </c>
    </row>
    <row r="1627" spans="1:4">
      <c r="A1627" t="s">
        <v>9</v>
      </c>
      <c r="B1627" t="s">
        <v>173</v>
      </c>
      <c r="C1627" s="8">
        <v>46161</v>
      </c>
      <c r="D1627" s="9">
        <v>35910</v>
      </c>
    </row>
    <row r="1628" spans="1:4">
      <c r="A1628" t="s">
        <v>9</v>
      </c>
      <c r="B1628" t="s">
        <v>166</v>
      </c>
      <c r="C1628" s="8">
        <v>46161</v>
      </c>
      <c r="D1628" s="9">
        <v>33622</v>
      </c>
    </row>
    <row r="1629" spans="1:4">
      <c r="A1629" t="s">
        <v>5</v>
      </c>
      <c r="B1629" t="s">
        <v>96</v>
      </c>
      <c r="C1629" s="8">
        <v>46161</v>
      </c>
      <c r="D1629" s="9">
        <v>47849</v>
      </c>
    </row>
    <row r="1630" spans="1:4">
      <c r="A1630" t="s">
        <v>5</v>
      </c>
      <c r="B1630" t="s">
        <v>182</v>
      </c>
      <c r="C1630" s="8">
        <v>46161</v>
      </c>
      <c r="D1630" s="9">
        <v>27637</v>
      </c>
    </row>
    <row r="1631" spans="1:4">
      <c r="A1631" t="s">
        <v>5</v>
      </c>
      <c r="B1631" t="s">
        <v>62</v>
      </c>
      <c r="C1631" s="8">
        <v>46161</v>
      </c>
      <c r="D1631" s="9">
        <v>38653</v>
      </c>
    </row>
    <row r="1632" spans="1:4">
      <c r="A1632" t="s">
        <v>5</v>
      </c>
      <c r="B1632" t="s">
        <v>81</v>
      </c>
      <c r="C1632" s="8">
        <v>46161</v>
      </c>
      <c r="D1632" s="9">
        <v>51298</v>
      </c>
    </row>
    <row r="1633" spans="1:4">
      <c r="A1633" t="s">
        <v>5</v>
      </c>
      <c r="B1633" t="s">
        <v>205</v>
      </c>
      <c r="C1633" s="8">
        <v>46161</v>
      </c>
      <c r="D1633" s="9">
        <v>44084</v>
      </c>
    </row>
    <row r="1634" spans="1:4">
      <c r="A1634" t="s">
        <v>4</v>
      </c>
      <c r="B1634" t="s">
        <v>147</v>
      </c>
      <c r="C1634" s="8">
        <v>46162</v>
      </c>
      <c r="D1634" s="9">
        <v>26129</v>
      </c>
    </row>
    <row r="1635" spans="1:4">
      <c r="A1635" t="s">
        <v>25</v>
      </c>
      <c r="B1635" t="s">
        <v>175</v>
      </c>
      <c r="C1635" s="8">
        <v>46162</v>
      </c>
      <c r="D1635" s="9">
        <v>14277</v>
      </c>
    </row>
    <row r="1636" spans="1:4">
      <c r="A1636" t="s">
        <v>25</v>
      </c>
      <c r="B1636" t="s">
        <v>66</v>
      </c>
      <c r="C1636" s="8">
        <v>46162</v>
      </c>
      <c r="D1636" s="9">
        <v>18885</v>
      </c>
    </row>
    <row r="1637" spans="1:4">
      <c r="A1637" t="s">
        <v>6</v>
      </c>
      <c r="B1637" t="s">
        <v>217</v>
      </c>
      <c r="C1637" s="8">
        <v>46162</v>
      </c>
      <c r="D1637" s="9">
        <v>44607</v>
      </c>
    </row>
    <row r="1638" spans="1:4">
      <c r="A1638" t="s">
        <v>33</v>
      </c>
      <c r="B1638" t="s">
        <v>128</v>
      </c>
      <c r="C1638" s="8">
        <v>46162</v>
      </c>
      <c r="D1638" s="9">
        <v>18103</v>
      </c>
    </row>
    <row r="1639" spans="1:4">
      <c r="A1639" t="s">
        <v>9</v>
      </c>
      <c r="B1639" t="s">
        <v>208</v>
      </c>
      <c r="C1639" s="8">
        <v>46162</v>
      </c>
      <c r="D1639" s="9">
        <v>36648</v>
      </c>
    </row>
    <row r="1640" spans="1:4">
      <c r="A1640" t="s">
        <v>9</v>
      </c>
      <c r="B1640" t="s">
        <v>129</v>
      </c>
      <c r="C1640" s="8">
        <v>46162</v>
      </c>
      <c r="D1640" s="9">
        <v>37250</v>
      </c>
    </row>
    <row r="1641" spans="1:4">
      <c r="A1641" t="s">
        <v>9</v>
      </c>
      <c r="B1641" t="s">
        <v>48</v>
      </c>
      <c r="C1641" s="8">
        <v>46162</v>
      </c>
      <c r="D1641" s="9">
        <v>35426</v>
      </c>
    </row>
    <row r="1642" spans="1:4">
      <c r="A1642" t="s">
        <v>5</v>
      </c>
      <c r="B1642" t="s">
        <v>184</v>
      </c>
      <c r="C1642" s="8">
        <v>46162</v>
      </c>
      <c r="D1642" s="9">
        <v>49133</v>
      </c>
    </row>
    <row r="1643" spans="1:4">
      <c r="A1643" t="s">
        <v>5</v>
      </c>
      <c r="B1643" t="s">
        <v>53</v>
      </c>
      <c r="C1643" s="8">
        <v>46162</v>
      </c>
      <c r="D1643" s="9">
        <v>42679</v>
      </c>
    </row>
    <row r="1644" spans="1:4">
      <c r="A1644" t="s">
        <v>27</v>
      </c>
      <c r="B1644" t="s">
        <v>237</v>
      </c>
      <c r="C1644" s="8">
        <v>46163</v>
      </c>
      <c r="D1644" s="9">
        <v>27697</v>
      </c>
    </row>
    <row r="1645" spans="1:4">
      <c r="A1645" t="s">
        <v>25</v>
      </c>
      <c r="B1645" t="s">
        <v>126</v>
      </c>
      <c r="C1645" s="8">
        <v>46163</v>
      </c>
      <c r="D1645" s="9">
        <v>18182</v>
      </c>
    </row>
    <row r="1646" spans="1:4">
      <c r="A1646" t="s">
        <v>26</v>
      </c>
      <c r="B1646" t="s">
        <v>179</v>
      </c>
      <c r="C1646" s="8">
        <v>46163</v>
      </c>
      <c r="D1646" s="9">
        <v>16464</v>
      </c>
    </row>
    <row r="1647" spans="1:4">
      <c r="A1647" t="s">
        <v>30</v>
      </c>
      <c r="B1647" t="s">
        <v>56</v>
      </c>
      <c r="C1647" s="8">
        <v>46163</v>
      </c>
      <c r="D1647" s="9">
        <v>15384</v>
      </c>
    </row>
    <row r="1648" spans="1:4">
      <c r="A1648" t="s">
        <v>34</v>
      </c>
      <c r="B1648" t="s">
        <v>225</v>
      </c>
      <c r="C1648" s="8">
        <v>46163</v>
      </c>
      <c r="D1648" s="9">
        <v>10105</v>
      </c>
    </row>
    <row r="1649" spans="1:4">
      <c r="A1649" t="s">
        <v>6</v>
      </c>
      <c r="B1649" t="s">
        <v>123</v>
      </c>
      <c r="C1649" s="8">
        <v>46163</v>
      </c>
      <c r="D1649" s="9">
        <v>23787</v>
      </c>
    </row>
    <row r="1650" spans="1:4">
      <c r="A1650" t="s">
        <v>6</v>
      </c>
      <c r="B1650" t="s">
        <v>234</v>
      </c>
      <c r="C1650" s="8">
        <v>46163</v>
      </c>
      <c r="D1650" s="9">
        <v>22184</v>
      </c>
    </row>
    <row r="1651" spans="1:4">
      <c r="A1651" t="s">
        <v>7</v>
      </c>
      <c r="B1651" t="s">
        <v>263</v>
      </c>
      <c r="C1651" s="8">
        <v>46163</v>
      </c>
      <c r="D1651" s="9">
        <v>20709</v>
      </c>
    </row>
    <row r="1652" spans="1:4">
      <c r="A1652" t="s">
        <v>5</v>
      </c>
      <c r="B1652" t="s">
        <v>110</v>
      </c>
      <c r="C1652" s="8">
        <v>46163</v>
      </c>
      <c r="D1652" s="9">
        <v>44279</v>
      </c>
    </row>
    <row r="1653" spans="1:4">
      <c r="A1653" t="s">
        <v>5</v>
      </c>
      <c r="B1653" t="s">
        <v>81</v>
      </c>
      <c r="C1653" s="8">
        <v>46163</v>
      </c>
      <c r="D1653" s="9">
        <v>40453</v>
      </c>
    </row>
    <row r="1654" spans="1:4">
      <c r="A1654" t="s">
        <v>5</v>
      </c>
      <c r="B1654" t="s">
        <v>168</v>
      </c>
      <c r="C1654" s="8">
        <v>46163</v>
      </c>
      <c r="D1654" s="9">
        <v>30905</v>
      </c>
    </row>
    <row r="1655" spans="1:4">
      <c r="A1655" t="s">
        <v>4</v>
      </c>
      <c r="B1655" t="s">
        <v>192</v>
      </c>
      <c r="C1655" s="8">
        <v>46164</v>
      </c>
      <c r="D1655" s="9">
        <v>35426</v>
      </c>
    </row>
    <row r="1656" spans="1:4">
      <c r="A1656" t="s">
        <v>28</v>
      </c>
      <c r="B1656" t="s">
        <v>254</v>
      </c>
      <c r="C1656" s="8">
        <v>46164</v>
      </c>
      <c r="D1656" s="9">
        <v>15768</v>
      </c>
    </row>
    <row r="1657" spans="1:4">
      <c r="A1657" t="s">
        <v>6</v>
      </c>
      <c r="B1657" t="s">
        <v>262</v>
      </c>
      <c r="C1657" s="8">
        <v>46164</v>
      </c>
      <c r="D1657" s="9">
        <v>9878</v>
      </c>
    </row>
    <row r="1658" spans="1:4">
      <c r="A1658" t="s">
        <v>7</v>
      </c>
      <c r="B1658" t="s">
        <v>204</v>
      </c>
      <c r="C1658" s="8">
        <v>46164</v>
      </c>
      <c r="D1658" s="9">
        <v>24724</v>
      </c>
    </row>
    <row r="1659" spans="1:4">
      <c r="A1659" t="s">
        <v>7</v>
      </c>
      <c r="B1659" t="s">
        <v>268</v>
      </c>
      <c r="C1659" s="8">
        <v>46164</v>
      </c>
      <c r="D1659" s="9">
        <v>24383</v>
      </c>
    </row>
    <row r="1660" spans="1:4">
      <c r="A1660" t="s">
        <v>9</v>
      </c>
      <c r="B1660" t="s">
        <v>187</v>
      </c>
      <c r="C1660" s="8">
        <v>46164</v>
      </c>
      <c r="D1660" s="9">
        <v>26600</v>
      </c>
    </row>
    <row r="1661" spans="1:4">
      <c r="A1661" t="s">
        <v>9</v>
      </c>
      <c r="B1661" t="s">
        <v>258</v>
      </c>
      <c r="C1661" s="8">
        <v>46164</v>
      </c>
      <c r="D1661" s="9">
        <v>27991</v>
      </c>
    </row>
    <row r="1662" spans="1:4">
      <c r="A1662" t="s">
        <v>9</v>
      </c>
      <c r="B1662" t="s">
        <v>57</v>
      </c>
      <c r="C1662" s="8">
        <v>46164</v>
      </c>
      <c r="D1662" s="9">
        <v>19953</v>
      </c>
    </row>
    <row r="1663" spans="1:4">
      <c r="A1663" t="s">
        <v>5</v>
      </c>
      <c r="B1663" t="s">
        <v>221</v>
      </c>
      <c r="C1663" s="8">
        <v>46164</v>
      </c>
      <c r="D1663" s="9">
        <v>49922</v>
      </c>
    </row>
    <row r="1664" spans="1:4">
      <c r="A1664" t="s">
        <v>5</v>
      </c>
      <c r="B1664" t="s">
        <v>80</v>
      </c>
      <c r="C1664" s="8">
        <v>46164</v>
      </c>
      <c r="D1664" s="9">
        <v>43600</v>
      </c>
    </row>
    <row r="1665" spans="1:4">
      <c r="A1665" t="s">
        <v>5</v>
      </c>
      <c r="B1665" t="s">
        <v>146</v>
      </c>
      <c r="C1665" s="8">
        <v>46164</v>
      </c>
      <c r="D1665" s="9">
        <v>57039</v>
      </c>
    </row>
    <row r="1666" spans="1:4">
      <c r="A1666" t="s">
        <v>4</v>
      </c>
      <c r="B1666" t="s">
        <v>279</v>
      </c>
      <c r="C1666" s="8">
        <v>46165</v>
      </c>
      <c r="D1666" s="9">
        <v>46639</v>
      </c>
    </row>
    <row r="1667" spans="1:4">
      <c r="A1667" t="s">
        <v>31</v>
      </c>
      <c r="B1667" t="s">
        <v>272</v>
      </c>
      <c r="C1667" s="8">
        <v>46165</v>
      </c>
      <c r="D1667" s="9">
        <v>21989</v>
      </c>
    </row>
    <row r="1668" spans="1:4">
      <c r="A1668" t="s">
        <v>28</v>
      </c>
      <c r="B1668" t="s">
        <v>154</v>
      </c>
      <c r="C1668" s="8">
        <v>46165</v>
      </c>
      <c r="D1668" s="9">
        <v>15228</v>
      </c>
    </row>
    <row r="1669" spans="1:4">
      <c r="A1669" t="s">
        <v>6</v>
      </c>
      <c r="B1669" t="s">
        <v>220</v>
      </c>
      <c r="C1669" s="8">
        <v>46165</v>
      </c>
      <c r="D1669" s="9">
        <v>25310</v>
      </c>
    </row>
    <row r="1670" spans="1:4">
      <c r="A1670" t="s">
        <v>29</v>
      </c>
      <c r="B1670" t="s">
        <v>149</v>
      </c>
      <c r="C1670" s="8">
        <v>46165</v>
      </c>
      <c r="D1670" s="9">
        <v>9622</v>
      </c>
    </row>
    <row r="1671" spans="1:4">
      <c r="A1671" t="s">
        <v>7</v>
      </c>
      <c r="B1671" t="s">
        <v>70</v>
      </c>
      <c r="C1671" s="8">
        <v>46165</v>
      </c>
      <c r="D1671" s="9">
        <v>11965</v>
      </c>
    </row>
    <row r="1672" spans="1:4">
      <c r="A1672" t="s">
        <v>9</v>
      </c>
      <c r="B1672" t="s">
        <v>269</v>
      </c>
      <c r="C1672" s="8">
        <v>46165</v>
      </c>
      <c r="D1672" s="9">
        <v>25518</v>
      </c>
    </row>
    <row r="1673" spans="1:4">
      <c r="A1673" t="s">
        <v>9</v>
      </c>
      <c r="B1673" t="s">
        <v>264</v>
      </c>
      <c r="C1673" s="8">
        <v>46165</v>
      </c>
      <c r="D1673" s="9">
        <v>36062</v>
      </c>
    </row>
    <row r="1674" spans="1:4">
      <c r="A1674" t="s">
        <v>9</v>
      </c>
      <c r="B1674" t="s">
        <v>283</v>
      </c>
      <c r="C1674" s="8">
        <v>46165</v>
      </c>
      <c r="D1674" s="9">
        <v>45772</v>
      </c>
    </row>
    <row r="1675" spans="1:4">
      <c r="A1675" t="s">
        <v>5</v>
      </c>
      <c r="B1675" t="s">
        <v>206</v>
      </c>
      <c r="C1675" s="8">
        <v>46165</v>
      </c>
      <c r="D1675" s="9">
        <v>60259</v>
      </c>
    </row>
    <row r="1676" spans="1:4">
      <c r="A1676" t="s">
        <v>5</v>
      </c>
      <c r="B1676" t="s">
        <v>117</v>
      </c>
      <c r="C1676" s="8">
        <v>46165</v>
      </c>
      <c r="D1676" s="9">
        <v>32469</v>
      </c>
    </row>
    <row r="1677" spans="1:4">
      <c r="A1677" t="s">
        <v>5</v>
      </c>
      <c r="B1677" t="s">
        <v>243</v>
      </c>
      <c r="C1677" s="8">
        <v>46165</v>
      </c>
      <c r="D1677" s="9">
        <v>36140</v>
      </c>
    </row>
    <row r="1678" spans="1:4">
      <c r="A1678" t="s">
        <v>5</v>
      </c>
      <c r="B1678" t="s">
        <v>191</v>
      </c>
      <c r="C1678" s="8">
        <v>46165</v>
      </c>
      <c r="D1678" s="9">
        <v>51064</v>
      </c>
    </row>
    <row r="1679" spans="1:4">
      <c r="A1679" t="s">
        <v>5</v>
      </c>
      <c r="B1679" t="s">
        <v>105</v>
      </c>
      <c r="C1679" s="8">
        <v>46165</v>
      </c>
      <c r="D1679" s="9">
        <v>40318</v>
      </c>
    </row>
    <row r="1680" spans="1:4">
      <c r="A1680" t="s">
        <v>4</v>
      </c>
      <c r="B1680" t="s">
        <v>192</v>
      </c>
      <c r="C1680" s="8">
        <v>46166</v>
      </c>
      <c r="D1680" s="9">
        <v>40332</v>
      </c>
    </row>
    <row r="1681" spans="1:4">
      <c r="A1681" t="s">
        <v>4</v>
      </c>
      <c r="B1681" t="s">
        <v>139</v>
      </c>
      <c r="C1681" s="8">
        <v>46166</v>
      </c>
      <c r="D1681" s="9">
        <v>51451</v>
      </c>
    </row>
    <row r="1682" spans="1:4">
      <c r="A1682" t="s">
        <v>4</v>
      </c>
      <c r="B1682" t="s">
        <v>260</v>
      </c>
      <c r="C1682" s="8">
        <v>46166</v>
      </c>
      <c r="D1682" s="9">
        <v>14751</v>
      </c>
    </row>
    <row r="1683" spans="1:4">
      <c r="A1683" t="s">
        <v>25</v>
      </c>
      <c r="B1683" t="s">
        <v>127</v>
      </c>
      <c r="C1683" s="8">
        <v>46166</v>
      </c>
      <c r="D1683" s="9">
        <v>37277</v>
      </c>
    </row>
    <row r="1684" spans="1:4">
      <c r="A1684" t="s">
        <v>28</v>
      </c>
      <c r="B1684" t="s">
        <v>71</v>
      </c>
      <c r="C1684" s="8">
        <v>46166</v>
      </c>
      <c r="D1684" s="9">
        <v>17386</v>
      </c>
    </row>
    <row r="1685" spans="1:4">
      <c r="A1685" t="s">
        <v>36</v>
      </c>
      <c r="B1685" t="s">
        <v>155</v>
      </c>
      <c r="C1685" s="8">
        <v>46166</v>
      </c>
      <c r="D1685" s="9">
        <v>15693</v>
      </c>
    </row>
    <row r="1686" spans="1:4">
      <c r="A1686" t="s">
        <v>6</v>
      </c>
      <c r="B1686" t="s">
        <v>75</v>
      </c>
      <c r="C1686" s="8">
        <v>46166</v>
      </c>
      <c r="D1686" s="9">
        <v>6368</v>
      </c>
    </row>
    <row r="1687" spans="1:4">
      <c r="A1687" t="s">
        <v>29</v>
      </c>
      <c r="B1687" t="s">
        <v>64</v>
      </c>
      <c r="C1687" s="8">
        <v>46166</v>
      </c>
      <c r="D1687" s="9">
        <v>11971</v>
      </c>
    </row>
    <row r="1688" spans="1:4">
      <c r="A1688" t="s">
        <v>7</v>
      </c>
      <c r="B1688" t="s">
        <v>231</v>
      </c>
      <c r="C1688" s="8">
        <v>46166</v>
      </c>
      <c r="D1688" s="9">
        <v>35002</v>
      </c>
    </row>
    <row r="1689" spans="1:4">
      <c r="A1689" t="s">
        <v>9</v>
      </c>
      <c r="B1689" t="s">
        <v>208</v>
      </c>
      <c r="C1689" s="8">
        <v>46166</v>
      </c>
      <c r="D1689" s="9">
        <v>31376</v>
      </c>
    </row>
    <row r="1690" spans="1:4">
      <c r="A1690" t="s">
        <v>9</v>
      </c>
      <c r="B1690" t="s">
        <v>88</v>
      </c>
      <c r="C1690" s="8">
        <v>46166</v>
      </c>
      <c r="D1690" s="9">
        <v>54794</v>
      </c>
    </row>
    <row r="1691" spans="1:4">
      <c r="A1691" t="s">
        <v>9</v>
      </c>
      <c r="B1691" t="s">
        <v>283</v>
      </c>
      <c r="C1691" s="8">
        <v>46166</v>
      </c>
      <c r="D1691" s="9">
        <v>45203</v>
      </c>
    </row>
    <row r="1692" spans="1:4">
      <c r="A1692" t="s">
        <v>9</v>
      </c>
      <c r="B1692" t="s">
        <v>197</v>
      </c>
      <c r="C1692" s="8">
        <v>46166</v>
      </c>
      <c r="D1692" s="9">
        <v>42310</v>
      </c>
    </row>
    <row r="1693" spans="1:4">
      <c r="A1693" t="s">
        <v>5</v>
      </c>
      <c r="B1693" t="s">
        <v>196</v>
      </c>
      <c r="C1693" s="8">
        <v>46166</v>
      </c>
      <c r="D1693" s="9">
        <v>43869</v>
      </c>
    </row>
    <row r="1694" spans="1:4">
      <c r="A1694" t="s">
        <v>5</v>
      </c>
      <c r="B1694" t="s">
        <v>202</v>
      </c>
      <c r="C1694" s="8">
        <v>46166</v>
      </c>
      <c r="D1694" s="9">
        <v>40856</v>
      </c>
    </row>
    <row r="1695" spans="1:4">
      <c r="A1695" t="s">
        <v>5</v>
      </c>
      <c r="B1695" t="s">
        <v>159</v>
      </c>
      <c r="C1695" s="8">
        <v>46166</v>
      </c>
      <c r="D1695" s="9">
        <v>37326</v>
      </c>
    </row>
    <row r="1696" spans="1:4">
      <c r="A1696" t="s">
        <v>5</v>
      </c>
      <c r="B1696" t="s">
        <v>118</v>
      </c>
      <c r="C1696" s="8">
        <v>46166</v>
      </c>
      <c r="D1696" s="9">
        <v>29846</v>
      </c>
    </row>
    <row r="1697" spans="1:4">
      <c r="A1697" t="s">
        <v>27</v>
      </c>
      <c r="B1697" t="s">
        <v>82</v>
      </c>
      <c r="C1697" s="8">
        <v>46167</v>
      </c>
      <c r="D1697" s="9">
        <v>19582</v>
      </c>
    </row>
    <row r="1698" spans="1:4">
      <c r="A1698" t="s">
        <v>4</v>
      </c>
      <c r="B1698" t="s">
        <v>147</v>
      </c>
      <c r="C1698" s="8">
        <v>46167</v>
      </c>
      <c r="D1698" s="9">
        <v>29644</v>
      </c>
    </row>
    <row r="1699" spans="1:4">
      <c r="A1699" t="s">
        <v>4</v>
      </c>
      <c r="B1699" t="s">
        <v>198</v>
      </c>
      <c r="C1699" s="8">
        <v>46167</v>
      </c>
      <c r="D1699" s="9">
        <v>45609</v>
      </c>
    </row>
    <row r="1700" spans="1:4">
      <c r="A1700" t="s">
        <v>26</v>
      </c>
      <c r="B1700" t="s">
        <v>245</v>
      </c>
      <c r="C1700" s="8">
        <v>46167</v>
      </c>
      <c r="D1700" s="9">
        <v>17789</v>
      </c>
    </row>
    <row r="1701" spans="1:4">
      <c r="A1701" t="s">
        <v>33</v>
      </c>
      <c r="B1701" t="s">
        <v>253</v>
      </c>
      <c r="C1701" s="8">
        <v>46167</v>
      </c>
      <c r="D1701" s="9">
        <v>14934</v>
      </c>
    </row>
    <row r="1702" spans="1:4">
      <c r="A1702" t="s">
        <v>7</v>
      </c>
      <c r="B1702" t="s">
        <v>135</v>
      </c>
      <c r="C1702" s="8">
        <v>46167</v>
      </c>
      <c r="D1702" s="9">
        <v>31013</v>
      </c>
    </row>
    <row r="1703" spans="1:4">
      <c r="A1703" t="s">
        <v>38</v>
      </c>
      <c r="B1703" t="s">
        <v>69</v>
      </c>
      <c r="C1703" s="8">
        <v>46168</v>
      </c>
      <c r="D1703" s="9">
        <v>14993</v>
      </c>
    </row>
    <row r="1704" spans="1:4">
      <c r="A1704" t="s">
        <v>4</v>
      </c>
      <c r="B1704" t="s">
        <v>189</v>
      </c>
      <c r="C1704" s="8">
        <v>46168</v>
      </c>
      <c r="D1704" s="9">
        <v>27290</v>
      </c>
    </row>
    <row r="1705" spans="1:4">
      <c r="A1705" t="s">
        <v>4</v>
      </c>
      <c r="B1705" t="s">
        <v>277</v>
      </c>
      <c r="C1705" s="8">
        <v>46168</v>
      </c>
      <c r="D1705" s="9">
        <v>36231</v>
      </c>
    </row>
    <row r="1706" spans="1:4">
      <c r="A1706" t="s">
        <v>4</v>
      </c>
      <c r="B1706" t="s">
        <v>125</v>
      </c>
      <c r="C1706" s="8">
        <v>46168</v>
      </c>
      <c r="D1706" s="9">
        <v>49697</v>
      </c>
    </row>
    <row r="1707" spans="1:4">
      <c r="A1707" t="s">
        <v>25</v>
      </c>
      <c r="B1707" t="s">
        <v>239</v>
      </c>
      <c r="C1707" s="8">
        <v>46168</v>
      </c>
      <c r="D1707" s="9">
        <v>25711</v>
      </c>
    </row>
    <row r="1708" spans="1:4">
      <c r="A1708" t="s">
        <v>26</v>
      </c>
      <c r="B1708" t="s">
        <v>194</v>
      </c>
      <c r="C1708" s="8">
        <v>46168</v>
      </c>
      <c r="D1708" s="9">
        <v>6105</v>
      </c>
    </row>
    <row r="1709" spans="1:4">
      <c r="A1709" t="s">
        <v>26</v>
      </c>
      <c r="B1709" t="s">
        <v>97</v>
      </c>
      <c r="C1709" s="8">
        <v>46168</v>
      </c>
      <c r="D1709" s="9">
        <v>18149</v>
      </c>
    </row>
    <row r="1710" spans="1:4">
      <c r="A1710" t="s">
        <v>7</v>
      </c>
      <c r="B1710" t="s">
        <v>147</v>
      </c>
      <c r="C1710" s="8">
        <v>46168</v>
      </c>
      <c r="D1710" s="9">
        <v>20021</v>
      </c>
    </row>
    <row r="1711" spans="1:4">
      <c r="A1711" t="s">
        <v>7</v>
      </c>
      <c r="B1711" t="s">
        <v>89</v>
      </c>
      <c r="C1711" s="8">
        <v>46168</v>
      </c>
      <c r="D1711" s="9">
        <v>28046</v>
      </c>
    </row>
    <row r="1712" spans="1:4">
      <c r="A1712" t="s">
        <v>7</v>
      </c>
      <c r="B1712" t="s">
        <v>236</v>
      </c>
      <c r="C1712" s="8">
        <v>46168</v>
      </c>
      <c r="D1712" s="9">
        <v>23963</v>
      </c>
    </row>
    <row r="1713" spans="1:4">
      <c r="A1713" t="s">
        <v>9</v>
      </c>
      <c r="B1713" t="s">
        <v>227</v>
      </c>
      <c r="C1713" s="8">
        <v>46168</v>
      </c>
      <c r="D1713" s="9">
        <v>33854</v>
      </c>
    </row>
    <row r="1714" spans="1:4">
      <c r="A1714" t="s">
        <v>5</v>
      </c>
      <c r="B1714" t="s">
        <v>182</v>
      </c>
      <c r="C1714" s="8">
        <v>46168</v>
      </c>
      <c r="D1714" s="9">
        <v>36245</v>
      </c>
    </row>
    <row r="1715" spans="1:4">
      <c r="A1715" t="s">
        <v>5</v>
      </c>
      <c r="B1715" t="s">
        <v>209</v>
      </c>
      <c r="C1715" s="8">
        <v>46168</v>
      </c>
      <c r="D1715" s="9">
        <v>35534</v>
      </c>
    </row>
    <row r="1716" spans="1:4">
      <c r="A1716" t="s">
        <v>5</v>
      </c>
      <c r="B1716" t="s">
        <v>196</v>
      </c>
      <c r="C1716" s="8">
        <v>46168</v>
      </c>
      <c r="D1716" s="9">
        <v>44296</v>
      </c>
    </row>
    <row r="1717" spans="1:4">
      <c r="A1717" t="s">
        <v>5</v>
      </c>
      <c r="B1717" t="s">
        <v>95</v>
      </c>
      <c r="C1717" s="8">
        <v>46168</v>
      </c>
      <c r="D1717" s="9">
        <v>42957</v>
      </c>
    </row>
    <row r="1718" spans="1:4">
      <c r="A1718" t="s">
        <v>5</v>
      </c>
      <c r="B1718" t="s">
        <v>51</v>
      </c>
      <c r="C1718" s="8">
        <v>46168</v>
      </c>
      <c r="D1718" s="9">
        <v>39219</v>
      </c>
    </row>
    <row r="1719" spans="1:4">
      <c r="A1719" t="s">
        <v>5</v>
      </c>
      <c r="B1719" t="s">
        <v>205</v>
      </c>
      <c r="C1719" s="8">
        <v>46168</v>
      </c>
      <c r="D1719" s="9">
        <v>45717</v>
      </c>
    </row>
    <row r="1720" spans="1:4">
      <c r="A1720" t="s">
        <v>4</v>
      </c>
      <c r="B1720" t="s">
        <v>62</v>
      </c>
      <c r="C1720" s="8">
        <v>46169</v>
      </c>
      <c r="D1720" s="9">
        <v>39459</v>
      </c>
    </row>
    <row r="1721" spans="1:4">
      <c r="A1721" t="s">
        <v>25</v>
      </c>
      <c r="B1721" t="s">
        <v>108</v>
      </c>
      <c r="C1721" s="8">
        <v>46169</v>
      </c>
      <c r="D1721" s="9">
        <v>15945</v>
      </c>
    </row>
    <row r="1722" spans="1:4">
      <c r="A1722" t="s">
        <v>28</v>
      </c>
      <c r="B1722" t="s">
        <v>222</v>
      </c>
      <c r="C1722" s="8">
        <v>46169</v>
      </c>
      <c r="D1722" s="9">
        <v>14871</v>
      </c>
    </row>
    <row r="1723" spans="1:4">
      <c r="A1723" t="s">
        <v>26</v>
      </c>
      <c r="B1723" t="s">
        <v>256</v>
      </c>
      <c r="C1723" s="8">
        <v>46169</v>
      </c>
      <c r="D1723" s="9">
        <v>30688</v>
      </c>
    </row>
    <row r="1724" spans="1:4">
      <c r="A1724" t="s">
        <v>8</v>
      </c>
      <c r="B1724" t="s">
        <v>98</v>
      </c>
      <c r="C1724" s="8">
        <v>46169</v>
      </c>
      <c r="D1724" s="9">
        <v>32375</v>
      </c>
    </row>
    <row r="1725" spans="1:4">
      <c r="A1725" t="s">
        <v>6</v>
      </c>
      <c r="B1725" t="s">
        <v>180</v>
      </c>
      <c r="C1725" s="8">
        <v>46169</v>
      </c>
      <c r="D1725" s="9">
        <v>26580</v>
      </c>
    </row>
    <row r="1726" spans="1:4">
      <c r="A1726" t="s">
        <v>9</v>
      </c>
      <c r="B1726" t="s">
        <v>172</v>
      </c>
      <c r="C1726" s="8">
        <v>46169</v>
      </c>
      <c r="D1726" s="9">
        <v>37443</v>
      </c>
    </row>
    <row r="1727" spans="1:4">
      <c r="A1727" t="s">
        <v>9</v>
      </c>
      <c r="B1727" t="s">
        <v>137</v>
      </c>
      <c r="C1727" s="8">
        <v>46169</v>
      </c>
      <c r="D1727" s="9">
        <v>27326</v>
      </c>
    </row>
    <row r="1728" spans="1:4">
      <c r="A1728" t="s">
        <v>5</v>
      </c>
      <c r="B1728" t="s">
        <v>184</v>
      </c>
      <c r="C1728" s="8">
        <v>46169</v>
      </c>
      <c r="D1728" s="9">
        <v>57515</v>
      </c>
    </row>
    <row r="1729" spans="1:4">
      <c r="A1729" t="s">
        <v>5</v>
      </c>
      <c r="B1729" t="s">
        <v>190</v>
      </c>
      <c r="C1729" s="8">
        <v>46169</v>
      </c>
      <c r="D1729" s="9">
        <v>32810</v>
      </c>
    </row>
    <row r="1730" spans="1:4">
      <c r="A1730" t="s">
        <v>5</v>
      </c>
      <c r="B1730" t="s">
        <v>118</v>
      </c>
      <c r="C1730" s="8">
        <v>46169</v>
      </c>
      <c r="D1730" s="9">
        <v>32173</v>
      </c>
    </row>
    <row r="1731" spans="1:4">
      <c r="A1731" t="s">
        <v>4</v>
      </c>
      <c r="B1731" t="s">
        <v>271</v>
      </c>
      <c r="C1731" s="8">
        <v>46170</v>
      </c>
      <c r="D1731" s="9">
        <v>28346</v>
      </c>
    </row>
    <row r="1732" spans="1:4">
      <c r="A1732" t="s">
        <v>4</v>
      </c>
      <c r="B1732" t="s">
        <v>84</v>
      </c>
      <c r="C1732" s="8">
        <v>46170</v>
      </c>
      <c r="D1732" s="9">
        <v>11103</v>
      </c>
    </row>
    <row r="1733" spans="1:4">
      <c r="A1733" t="s">
        <v>25</v>
      </c>
      <c r="B1733" t="s">
        <v>153</v>
      </c>
      <c r="C1733" s="8">
        <v>46170</v>
      </c>
      <c r="D1733" s="9">
        <v>29529</v>
      </c>
    </row>
    <row r="1734" spans="1:4">
      <c r="A1734" t="s">
        <v>32</v>
      </c>
      <c r="B1734" t="s">
        <v>87</v>
      </c>
      <c r="C1734" s="8">
        <v>46170</v>
      </c>
      <c r="D1734" s="9">
        <v>14248</v>
      </c>
    </row>
    <row r="1735" spans="1:4">
      <c r="A1735" t="s">
        <v>7</v>
      </c>
      <c r="B1735" t="s">
        <v>77</v>
      </c>
      <c r="C1735" s="8">
        <v>46170</v>
      </c>
      <c r="D1735" s="9">
        <v>27440</v>
      </c>
    </row>
    <row r="1736" spans="1:4">
      <c r="A1736" t="s">
        <v>9</v>
      </c>
      <c r="B1736" t="s">
        <v>249</v>
      </c>
      <c r="C1736" s="8">
        <v>46170</v>
      </c>
      <c r="D1736" s="9">
        <v>23246</v>
      </c>
    </row>
    <row r="1737" spans="1:4">
      <c r="A1737" t="s">
        <v>9</v>
      </c>
      <c r="B1737" t="s">
        <v>102</v>
      </c>
      <c r="C1737" s="8">
        <v>46170</v>
      </c>
      <c r="D1737" s="9">
        <v>39369</v>
      </c>
    </row>
    <row r="1738" spans="1:4">
      <c r="A1738" t="s">
        <v>5</v>
      </c>
      <c r="B1738" t="s">
        <v>184</v>
      </c>
      <c r="C1738" s="8">
        <v>46170</v>
      </c>
      <c r="D1738" s="9">
        <v>37748</v>
      </c>
    </row>
    <row r="1739" spans="1:4">
      <c r="A1739" t="s">
        <v>5</v>
      </c>
      <c r="B1739" t="s">
        <v>60</v>
      </c>
      <c r="C1739" s="8">
        <v>46170</v>
      </c>
      <c r="D1739" s="9">
        <v>44046</v>
      </c>
    </row>
    <row r="1740" spans="1:4">
      <c r="A1740" t="s">
        <v>5</v>
      </c>
      <c r="B1740" t="s">
        <v>146</v>
      </c>
      <c r="C1740" s="8">
        <v>46170</v>
      </c>
      <c r="D1740" s="9">
        <v>46359</v>
      </c>
    </row>
    <row r="1741" spans="1:4">
      <c r="A1741" t="s">
        <v>4</v>
      </c>
      <c r="B1741" t="s">
        <v>230</v>
      </c>
      <c r="C1741" s="8">
        <v>46171</v>
      </c>
      <c r="D1741" s="9">
        <v>34704</v>
      </c>
    </row>
    <row r="1742" spans="1:4">
      <c r="A1742" t="s">
        <v>26</v>
      </c>
      <c r="B1742" t="s">
        <v>281</v>
      </c>
      <c r="C1742" s="8">
        <v>46171</v>
      </c>
      <c r="D1742" s="9">
        <v>16971</v>
      </c>
    </row>
    <row r="1743" spans="1:4">
      <c r="A1743" t="s">
        <v>6</v>
      </c>
      <c r="B1743" t="s">
        <v>200</v>
      </c>
      <c r="C1743" s="8">
        <v>46171</v>
      </c>
      <c r="D1743" s="9">
        <v>26842</v>
      </c>
    </row>
    <row r="1744" spans="1:4">
      <c r="A1744" t="s">
        <v>9</v>
      </c>
      <c r="B1744" t="s">
        <v>188</v>
      </c>
      <c r="C1744" s="8">
        <v>46171</v>
      </c>
      <c r="D1744" s="9">
        <v>47436</v>
      </c>
    </row>
    <row r="1745" spans="1:4">
      <c r="A1745" t="s">
        <v>5</v>
      </c>
      <c r="B1745" t="s">
        <v>209</v>
      </c>
      <c r="C1745" s="8">
        <v>46171</v>
      </c>
      <c r="D1745" s="9">
        <v>37478</v>
      </c>
    </row>
    <row r="1746" spans="1:4">
      <c r="A1746" t="s">
        <v>5</v>
      </c>
      <c r="B1746" t="s">
        <v>80</v>
      </c>
      <c r="C1746" s="8">
        <v>46171</v>
      </c>
      <c r="D1746" s="9">
        <v>38832</v>
      </c>
    </row>
    <row r="1747" spans="1:4">
      <c r="A1747" t="s">
        <v>5</v>
      </c>
      <c r="B1747" t="s">
        <v>243</v>
      </c>
      <c r="C1747" s="8">
        <v>46171</v>
      </c>
      <c r="D1747" s="9">
        <v>44961</v>
      </c>
    </row>
    <row r="1748" spans="1:4">
      <c r="A1748" t="s">
        <v>5</v>
      </c>
      <c r="B1748" t="s">
        <v>243</v>
      </c>
      <c r="C1748" s="8">
        <v>46171</v>
      </c>
      <c r="D1748" s="9">
        <v>45053</v>
      </c>
    </row>
    <row r="1749" spans="1:4">
      <c r="A1749" t="s">
        <v>5</v>
      </c>
      <c r="B1749" t="s">
        <v>205</v>
      </c>
      <c r="C1749" s="8">
        <v>46171</v>
      </c>
      <c r="D1749" s="9">
        <v>37536</v>
      </c>
    </row>
    <row r="1750" spans="1:4">
      <c r="A1750" t="s">
        <v>27</v>
      </c>
      <c r="B1750" t="s">
        <v>160</v>
      </c>
      <c r="C1750" s="8">
        <v>46172</v>
      </c>
      <c r="D1750" s="9">
        <v>16958</v>
      </c>
    </row>
    <row r="1751" spans="1:4">
      <c r="A1751" t="s">
        <v>27</v>
      </c>
      <c r="B1751" t="s">
        <v>259</v>
      </c>
      <c r="C1751" s="8">
        <v>46172</v>
      </c>
      <c r="D1751" s="9">
        <v>34662</v>
      </c>
    </row>
    <row r="1752" spans="1:4">
      <c r="A1752" t="s">
        <v>28</v>
      </c>
      <c r="B1752" t="s">
        <v>240</v>
      </c>
      <c r="C1752" s="8">
        <v>46172</v>
      </c>
      <c r="D1752" s="9">
        <v>14748</v>
      </c>
    </row>
    <row r="1753" spans="1:4">
      <c r="A1753" t="s">
        <v>8</v>
      </c>
      <c r="B1753" t="s">
        <v>122</v>
      </c>
      <c r="C1753" s="8">
        <v>46172</v>
      </c>
      <c r="D1753" s="9">
        <v>27572</v>
      </c>
    </row>
    <row r="1754" spans="1:4">
      <c r="A1754" t="s">
        <v>6</v>
      </c>
      <c r="B1754" t="s">
        <v>266</v>
      </c>
      <c r="C1754" s="8">
        <v>46172</v>
      </c>
      <c r="D1754" s="9">
        <v>5200</v>
      </c>
    </row>
    <row r="1755" spans="1:4">
      <c r="A1755" t="s">
        <v>29</v>
      </c>
      <c r="B1755" t="s">
        <v>59</v>
      </c>
      <c r="C1755" s="8">
        <v>46172</v>
      </c>
      <c r="D1755" s="9">
        <v>16352</v>
      </c>
    </row>
    <row r="1756" spans="1:4">
      <c r="A1756" t="s">
        <v>7</v>
      </c>
      <c r="B1756" t="s">
        <v>47</v>
      </c>
      <c r="C1756" s="8">
        <v>46172</v>
      </c>
      <c r="D1756" s="9">
        <v>21951</v>
      </c>
    </row>
    <row r="1757" spans="1:4">
      <c r="A1757" t="s">
        <v>37</v>
      </c>
      <c r="B1757" t="s">
        <v>248</v>
      </c>
      <c r="C1757" s="8">
        <v>46172</v>
      </c>
      <c r="D1757" s="9">
        <v>13811</v>
      </c>
    </row>
    <row r="1758" spans="1:4">
      <c r="A1758" t="s">
        <v>9</v>
      </c>
      <c r="B1758" t="s">
        <v>102</v>
      </c>
      <c r="C1758" s="8">
        <v>46172</v>
      </c>
      <c r="D1758" s="9">
        <v>47932</v>
      </c>
    </row>
    <row r="1759" spans="1:4">
      <c r="A1759" t="s">
        <v>9</v>
      </c>
      <c r="B1759" t="s">
        <v>280</v>
      </c>
      <c r="C1759" s="8">
        <v>46172</v>
      </c>
      <c r="D1759" s="9">
        <v>43117</v>
      </c>
    </row>
    <row r="1760" spans="1:4">
      <c r="A1760" t="s">
        <v>5</v>
      </c>
      <c r="B1760" t="s">
        <v>104</v>
      </c>
      <c r="C1760" s="8">
        <v>46172</v>
      </c>
      <c r="D1760" s="9">
        <v>40091</v>
      </c>
    </row>
    <row r="1761" spans="1:4">
      <c r="A1761" t="s">
        <v>5</v>
      </c>
      <c r="B1761" t="s">
        <v>92</v>
      </c>
      <c r="C1761" s="8">
        <v>46172</v>
      </c>
      <c r="D1761" s="9">
        <v>39784</v>
      </c>
    </row>
    <row r="1762" spans="1:4">
      <c r="A1762" t="s">
        <v>5</v>
      </c>
      <c r="B1762" t="s">
        <v>168</v>
      </c>
      <c r="C1762" s="8">
        <v>46172</v>
      </c>
      <c r="D1762" s="9">
        <v>39114</v>
      </c>
    </row>
    <row r="1763" spans="1:4">
      <c r="A1763" t="s">
        <v>5</v>
      </c>
      <c r="B1763" t="s">
        <v>188</v>
      </c>
      <c r="C1763" s="8">
        <v>46172</v>
      </c>
      <c r="D1763" s="9">
        <v>51864</v>
      </c>
    </row>
    <row r="1764" spans="1:4">
      <c r="A1764" t="s">
        <v>5</v>
      </c>
      <c r="B1764" t="s">
        <v>53</v>
      </c>
      <c r="C1764" s="8">
        <v>46172</v>
      </c>
      <c r="D1764" s="9">
        <v>41642</v>
      </c>
    </row>
    <row r="1765" spans="1:4">
      <c r="A1765" t="s">
        <v>5</v>
      </c>
      <c r="B1765" t="s">
        <v>205</v>
      </c>
      <c r="C1765" s="8">
        <v>46172</v>
      </c>
      <c r="D1765" s="9">
        <v>51279</v>
      </c>
    </row>
    <row r="1766" spans="1:4">
      <c r="A1766" t="s">
        <v>31</v>
      </c>
      <c r="B1766" t="s">
        <v>106</v>
      </c>
      <c r="C1766" s="8">
        <v>46173</v>
      </c>
      <c r="D1766" s="9">
        <v>11023</v>
      </c>
    </row>
    <row r="1767" spans="1:4">
      <c r="A1767" t="s">
        <v>31</v>
      </c>
      <c r="B1767" t="s">
        <v>99</v>
      </c>
      <c r="C1767" s="8">
        <v>46173</v>
      </c>
      <c r="D1767" s="9">
        <v>12764</v>
      </c>
    </row>
    <row r="1768" spans="1:4">
      <c r="A1768" t="s">
        <v>25</v>
      </c>
      <c r="B1768" t="s">
        <v>250</v>
      </c>
      <c r="C1768" s="8">
        <v>46173</v>
      </c>
      <c r="D1768" s="9">
        <v>19190</v>
      </c>
    </row>
    <row r="1769" spans="1:4">
      <c r="A1769" t="s">
        <v>25</v>
      </c>
      <c r="B1769" t="s">
        <v>169</v>
      </c>
      <c r="C1769" s="8">
        <v>46173</v>
      </c>
      <c r="D1769" s="9">
        <v>6128</v>
      </c>
    </row>
    <row r="1770" spans="1:4">
      <c r="A1770" t="s">
        <v>30</v>
      </c>
      <c r="B1770" t="s">
        <v>55</v>
      </c>
      <c r="C1770" s="8">
        <v>46173</v>
      </c>
      <c r="D1770" s="9">
        <v>14799</v>
      </c>
    </row>
    <row r="1771" spans="1:4">
      <c r="A1771" t="s">
        <v>29</v>
      </c>
      <c r="B1771" t="s">
        <v>109</v>
      </c>
      <c r="C1771" s="8">
        <v>46173</v>
      </c>
      <c r="D1771" s="9">
        <v>8606</v>
      </c>
    </row>
    <row r="1772" spans="1:4">
      <c r="A1772" t="s">
        <v>7</v>
      </c>
      <c r="B1772" t="s">
        <v>173</v>
      </c>
      <c r="C1772" s="8">
        <v>46173</v>
      </c>
      <c r="D1772" s="9">
        <v>32745</v>
      </c>
    </row>
    <row r="1773" spans="1:4">
      <c r="A1773" t="s">
        <v>9</v>
      </c>
      <c r="B1773" t="s">
        <v>136</v>
      </c>
      <c r="C1773" s="8">
        <v>46173</v>
      </c>
      <c r="D1773" s="9">
        <v>28686</v>
      </c>
    </row>
    <row r="1774" spans="1:4">
      <c r="A1774" t="s">
        <v>5</v>
      </c>
      <c r="B1774" t="s">
        <v>206</v>
      </c>
      <c r="C1774" s="8">
        <v>46173</v>
      </c>
      <c r="D1774" s="9">
        <v>38400</v>
      </c>
    </row>
    <row r="1775" spans="1:4">
      <c r="A1775" t="s">
        <v>5</v>
      </c>
      <c r="B1775" t="s">
        <v>132</v>
      </c>
      <c r="C1775" s="8">
        <v>46173</v>
      </c>
      <c r="D1775" s="9">
        <v>38105</v>
      </c>
    </row>
    <row r="1776" spans="1:4">
      <c r="A1776" t="s">
        <v>5</v>
      </c>
      <c r="B1776" t="s">
        <v>103</v>
      </c>
      <c r="C1776" s="8">
        <v>46173</v>
      </c>
      <c r="D1776" s="9">
        <v>26676</v>
      </c>
    </row>
    <row r="1777" spans="1:4">
      <c r="A1777" t="s">
        <v>5</v>
      </c>
      <c r="B1777" t="s">
        <v>94</v>
      </c>
      <c r="C1777" s="8">
        <v>46173</v>
      </c>
      <c r="D1777" s="9">
        <v>47534</v>
      </c>
    </row>
    <row r="1778" spans="1:4">
      <c r="A1778" t="s">
        <v>5</v>
      </c>
      <c r="B1778" t="s">
        <v>202</v>
      </c>
      <c r="C1778" s="8">
        <v>46173</v>
      </c>
      <c r="D1778" s="9">
        <v>31474</v>
      </c>
    </row>
    <row r="1779" spans="1:4">
      <c r="A1779" t="s">
        <v>5</v>
      </c>
      <c r="B1779" t="s">
        <v>95</v>
      </c>
      <c r="C1779" s="8">
        <v>46173</v>
      </c>
      <c r="D1779" s="9">
        <v>43708</v>
      </c>
    </row>
    <row r="1780" spans="1:4">
      <c r="A1780" t="s">
        <v>5</v>
      </c>
      <c r="B1780" t="s">
        <v>141</v>
      </c>
      <c r="C1780" s="8">
        <v>46173</v>
      </c>
      <c r="D1780" s="9">
        <v>44169</v>
      </c>
    </row>
    <row r="1781" spans="1:4">
      <c r="A1781" t="s">
        <v>4</v>
      </c>
      <c r="B1781" t="s">
        <v>193</v>
      </c>
      <c r="C1781" s="8">
        <v>46174</v>
      </c>
      <c r="D1781" s="9">
        <v>36379</v>
      </c>
    </row>
    <row r="1782" spans="1:4">
      <c r="A1782" t="s">
        <v>4</v>
      </c>
      <c r="B1782" t="s">
        <v>230</v>
      </c>
      <c r="C1782" s="8">
        <v>46174</v>
      </c>
      <c r="D1782" s="9">
        <v>40209</v>
      </c>
    </row>
    <row r="1783" spans="1:4">
      <c r="A1783" t="s">
        <v>32</v>
      </c>
      <c r="B1783" t="s">
        <v>273</v>
      </c>
      <c r="C1783" s="8">
        <v>46174</v>
      </c>
      <c r="D1783" s="9">
        <v>13749</v>
      </c>
    </row>
    <row r="1784" spans="1:4">
      <c r="A1784" t="s">
        <v>6</v>
      </c>
      <c r="B1784" t="s">
        <v>180</v>
      </c>
      <c r="C1784" s="8">
        <v>46174</v>
      </c>
      <c r="D1784" s="9">
        <v>25383</v>
      </c>
    </row>
    <row r="1785" spans="1:4">
      <c r="A1785" t="s">
        <v>6</v>
      </c>
      <c r="B1785" t="s">
        <v>217</v>
      </c>
      <c r="C1785" s="8">
        <v>46174</v>
      </c>
      <c r="D1785" s="9">
        <v>41515</v>
      </c>
    </row>
    <row r="1786" spans="1:4">
      <c r="A1786" t="s">
        <v>7</v>
      </c>
      <c r="B1786" t="s">
        <v>235</v>
      </c>
      <c r="C1786" s="8">
        <v>46174</v>
      </c>
      <c r="D1786" s="9">
        <v>19386</v>
      </c>
    </row>
    <row r="1787" spans="1:4">
      <c r="A1787" t="s">
        <v>7</v>
      </c>
      <c r="B1787" t="s">
        <v>236</v>
      </c>
      <c r="C1787" s="8">
        <v>46174</v>
      </c>
      <c r="D1787" s="9">
        <v>26160</v>
      </c>
    </row>
    <row r="1788" spans="1:4">
      <c r="A1788" t="s">
        <v>5</v>
      </c>
      <c r="B1788" t="s">
        <v>182</v>
      </c>
      <c r="C1788" s="8">
        <v>46174</v>
      </c>
      <c r="D1788" s="9">
        <v>41177</v>
      </c>
    </row>
    <row r="1789" spans="1:4">
      <c r="A1789" t="s">
        <v>5</v>
      </c>
      <c r="B1789" t="s">
        <v>196</v>
      </c>
      <c r="C1789" s="8">
        <v>46174</v>
      </c>
      <c r="D1789" s="9">
        <v>50476</v>
      </c>
    </row>
    <row r="1790" spans="1:4">
      <c r="A1790" t="s">
        <v>5</v>
      </c>
      <c r="B1790" t="s">
        <v>197</v>
      </c>
      <c r="C1790" s="8">
        <v>46174</v>
      </c>
      <c r="D1790" s="9">
        <v>52662</v>
      </c>
    </row>
    <row r="1791" spans="1:4">
      <c r="A1791" t="s">
        <v>5</v>
      </c>
      <c r="B1791" t="s">
        <v>53</v>
      </c>
      <c r="C1791" s="8">
        <v>46174</v>
      </c>
      <c r="D1791" s="9">
        <v>43104</v>
      </c>
    </row>
    <row r="1792" spans="1:4">
      <c r="A1792" t="s">
        <v>5</v>
      </c>
      <c r="B1792" t="s">
        <v>205</v>
      </c>
      <c r="C1792" s="8">
        <v>46174</v>
      </c>
      <c r="D1792" s="9">
        <v>53250</v>
      </c>
    </row>
    <row r="1793" spans="1:4">
      <c r="A1793" t="s">
        <v>31</v>
      </c>
      <c r="B1793" t="s">
        <v>106</v>
      </c>
      <c r="C1793" s="8">
        <v>46175</v>
      </c>
      <c r="D1793" s="9">
        <v>12785</v>
      </c>
    </row>
    <row r="1794" spans="1:4">
      <c r="A1794" t="s">
        <v>8</v>
      </c>
      <c r="B1794" t="s">
        <v>49</v>
      </c>
      <c r="C1794" s="8">
        <v>46175</v>
      </c>
      <c r="D1794" s="9">
        <v>18880</v>
      </c>
    </row>
    <row r="1795" spans="1:4">
      <c r="A1795" t="s">
        <v>9</v>
      </c>
      <c r="B1795" t="s">
        <v>144</v>
      </c>
      <c r="C1795" s="8">
        <v>46175</v>
      </c>
      <c r="D1795" s="9">
        <v>31000</v>
      </c>
    </row>
    <row r="1796" spans="1:4">
      <c r="A1796" t="s">
        <v>9</v>
      </c>
      <c r="B1796" t="s">
        <v>283</v>
      </c>
      <c r="C1796" s="8">
        <v>46175</v>
      </c>
      <c r="D1796" s="9">
        <v>15987</v>
      </c>
    </row>
    <row r="1797" spans="1:4">
      <c r="A1797" t="s">
        <v>5</v>
      </c>
      <c r="B1797" t="s">
        <v>110</v>
      </c>
      <c r="C1797" s="8">
        <v>46175</v>
      </c>
      <c r="D1797" s="9">
        <v>28919</v>
      </c>
    </row>
    <row r="1798" spans="1:4">
      <c r="A1798" t="s">
        <v>5</v>
      </c>
      <c r="B1798" t="s">
        <v>124</v>
      </c>
      <c r="C1798" s="8">
        <v>46175</v>
      </c>
      <c r="D1798" s="9">
        <v>49569</v>
      </c>
    </row>
    <row r="1799" spans="1:4">
      <c r="A1799" t="s">
        <v>5</v>
      </c>
      <c r="B1799" t="s">
        <v>221</v>
      </c>
      <c r="C1799" s="8">
        <v>46175</v>
      </c>
      <c r="D1799" s="9">
        <v>46466</v>
      </c>
    </row>
    <row r="1800" spans="1:4">
      <c r="A1800" t="s">
        <v>5</v>
      </c>
      <c r="B1800" t="s">
        <v>104</v>
      </c>
      <c r="C1800" s="8">
        <v>46175</v>
      </c>
      <c r="D1800" s="9">
        <v>34439</v>
      </c>
    </row>
    <row r="1801" spans="1:4">
      <c r="A1801" t="s">
        <v>5</v>
      </c>
      <c r="B1801" t="s">
        <v>242</v>
      </c>
      <c r="C1801" s="8">
        <v>46175</v>
      </c>
      <c r="D1801" s="9">
        <v>43311</v>
      </c>
    </row>
    <row r="1802" spans="1:4">
      <c r="A1802" t="s">
        <v>5</v>
      </c>
      <c r="B1802" t="s">
        <v>53</v>
      </c>
      <c r="C1802" s="8">
        <v>46175</v>
      </c>
      <c r="D1802" s="9">
        <v>29610</v>
      </c>
    </row>
    <row r="1803" spans="1:4">
      <c r="A1803" t="s">
        <v>5</v>
      </c>
      <c r="B1803" t="s">
        <v>105</v>
      </c>
      <c r="C1803" s="8">
        <v>46175</v>
      </c>
      <c r="D1803" s="9">
        <v>41863</v>
      </c>
    </row>
    <row r="1804" spans="1:4">
      <c r="A1804" t="s">
        <v>35</v>
      </c>
      <c r="B1804" t="s">
        <v>210</v>
      </c>
      <c r="C1804" s="8">
        <v>46176</v>
      </c>
      <c r="D1804" s="9">
        <v>27974</v>
      </c>
    </row>
    <row r="1805" spans="1:4">
      <c r="A1805" t="s">
        <v>27</v>
      </c>
      <c r="B1805" t="s">
        <v>270</v>
      </c>
      <c r="C1805" s="8">
        <v>46176</v>
      </c>
      <c r="D1805" s="9">
        <v>15747</v>
      </c>
    </row>
    <row r="1806" spans="1:4">
      <c r="A1806" t="s">
        <v>25</v>
      </c>
      <c r="B1806" t="s">
        <v>250</v>
      </c>
      <c r="C1806" s="8">
        <v>46176</v>
      </c>
      <c r="D1806" s="9">
        <v>19352</v>
      </c>
    </row>
    <row r="1807" spans="1:4">
      <c r="A1807" t="s">
        <v>26</v>
      </c>
      <c r="B1807" t="s">
        <v>223</v>
      </c>
      <c r="C1807" s="8">
        <v>46176</v>
      </c>
      <c r="D1807" s="9">
        <v>29484</v>
      </c>
    </row>
    <row r="1808" spans="1:4">
      <c r="A1808" t="s">
        <v>8</v>
      </c>
      <c r="B1808" t="s">
        <v>194</v>
      </c>
      <c r="C1808" s="8">
        <v>46176</v>
      </c>
      <c r="D1808" s="9">
        <v>18918</v>
      </c>
    </row>
    <row r="1809" spans="1:4">
      <c r="A1809" t="s">
        <v>8</v>
      </c>
      <c r="B1809" t="s">
        <v>170</v>
      </c>
      <c r="C1809" s="8">
        <v>46176</v>
      </c>
      <c r="D1809" s="9">
        <v>21622</v>
      </c>
    </row>
    <row r="1810" spans="1:4">
      <c r="A1810" t="s">
        <v>6</v>
      </c>
      <c r="B1810" t="s">
        <v>164</v>
      </c>
      <c r="C1810" s="8">
        <v>46176</v>
      </c>
      <c r="D1810" s="9">
        <v>25856</v>
      </c>
    </row>
    <row r="1811" spans="1:4">
      <c r="A1811" t="s">
        <v>33</v>
      </c>
      <c r="B1811" t="s">
        <v>128</v>
      </c>
      <c r="C1811" s="8">
        <v>46176</v>
      </c>
      <c r="D1811" s="9">
        <v>17423</v>
      </c>
    </row>
    <row r="1812" spans="1:4">
      <c r="A1812" t="s">
        <v>29</v>
      </c>
      <c r="B1812" t="s">
        <v>218</v>
      </c>
      <c r="C1812" s="8">
        <v>46176</v>
      </c>
      <c r="D1812" s="9">
        <v>14623</v>
      </c>
    </row>
    <row r="1813" spans="1:4">
      <c r="A1813" t="s">
        <v>7</v>
      </c>
      <c r="B1813" t="s">
        <v>90</v>
      </c>
      <c r="C1813" s="8">
        <v>46176</v>
      </c>
      <c r="D1813" s="9">
        <v>22162</v>
      </c>
    </row>
    <row r="1814" spans="1:4">
      <c r="A1814" t="s">
        <v>9</v>
      </c>
      <c r="B1814" t="s">
        <v>50</v>
      </c>
      <c r="C1814" s="8">
        <v>46176</v>
      </c>
      <c r="D1814" s="9">
        <v>43028</v>
      </c>
    </row>
    <row r="1815" spans="1:4">
      <c r="A1815" t="s">
        <v>5</v>
      </c>
      <c r="B1815" t="s">
        <v>96</v>
      </c>
      <c r="C1815" s="8">
        <v>46176</v>
      </c>
      <c r="D1815" s="9">
        <v>41041</v>
      </c>
    </row>
    <row r="1816" spans="1:4">
      <c r="A1816" t="s">
        <v>5</v>
      </c>
      <c r="B1816" t="s">
        <v>94</v>
      </c>
      <c r="C1816" s="8">
        <v>46176</v>
      </c>
      <c r="D1816" s="9">
        <v>34520</v>
      </c>
    </row>
    <row r="1817" spans="1:4">
      <c r="A1817" t="s">
        <v>5</v>
      </c>
      <c r="B1817" t="s">
        <v>53</v>
      </c>
      <c r="C1817" s="8">
        <v>46176</v>
      </c>
      <c r="D1817" s="9">
        <v>42103</v>
      </c>
    </row>
    <row r="1818" spans="1:4">
      <c r="A1818" t="s">
        <v>5</v>
      </c>
      <c r="B1818" t="s">
        <v>146</v>
      </c>
      <c r="C1818" s="8">
        <v>46176</v>
      </c>
      <c r="D1818" s="9">
        <v>46635</v>
      </c>
    </row>
    <row r="1819" spans="1:4">
      <c r="A1819" t="s">
        <v>8</v>
      </c>
      <c r="B1819" t="s">
        <v>256</v>
      </c>
      <c r="C1819" s="8">
        <v>46177</v>
      </c>
      <c r="D1819" s="9">
        <v>17958</v>
      </c>
    </row>
    <row r="1820" spans="1:4">
      <c r="A1820" t="s">
        <v>8</v>
      </c>
      <c r="B1820" t="s">
        <v>199</v>
      </c>
      <c r="C1820" s="8">
        <v>46177</v>
      </c>
      <c r="D1820" s="9">
        <v>21004</v>
      </c>
    </row>
    <row r="1821" spans="1:4">
      <c r="A1821" t="s">
        <v>6</v>
      </c>
      <c r="B1821" t="s">
        <v>123</v>
      </c>
      <c r="C1821" s="8">
        <v>46177</v>
      </c>
      <c r="D1821" s="9">
        <v>24168</v>
      </c>
    </row>
    <row r="1822" spans="1:4">
      <c r="A1822" t="s">
        <v>6</v>
      </c>
      <c r="B1822" t="s">
        <v>186</v>
      </c>
      <c r="C1822" s="8">
        <v>46177</v>
      </c>
      <c r="D1822" s="9">
        <v>16799</v>
      </c>
    </row>
    <row r="1823" spans="1:4">
      <c r="A1823" t="s">
        <v>9</v>
      </c>
      <c r="B1823" t="s">
        <v>190</v>
      </c>
      <c r="C1823" s="8">
        <v>46177</v>
      </c>
      <c r="D1823" s="9">
        <v>33159</v>
      </c>
    </row>
    <row r="1824" spans="1:4">
      <c r="A1824" t="s">
        <v>5</v>
      </c>
      <c r="B1824" t="s">
        <v>80</v>
      </c>
      <c r="C1824" s="8">
        <v>46177</v>
      </c>
      <c r="D1824" s="9">
        <v>35865</v>
      </c>
    </row>
    <row r="1825" spans="1:4">
      <c r="A1825" t="s">
        <v>5</v>
      </c>
      <c r="B1825" t="s">
        <v>202</v>
      </c>
      <c r="C1825" s="8">
        <v>46177</v>
      </c>
      <c r="D1825" s="9">
        <v>37616</v>
      </c>
    </row>
    <row r="1826" spans="1:4">
      <c r="A1826" t="s">
        <v>5</v>
      </c>
      <c r="B1826" t="s">
        <v>202</v>
      </c>
      <c r="C1826" s="8">
        <v>46177</v>
      </c>
      <c r="D1826" s="9">
        <v>27846</v>
      </c>
    </row>
    <row r="1827" spans="1:4">
      <c r="A1827" t="s">
        <v>5</v>
      </c>
      <c r="B1827" t="s">
        <v>174</v>
      </c>
      <c r="C1827" s="8">
        <v>46177</v>
      </c>
      <c r="D1827" s="9">
        <v>37143</v>
      </c>
    </row>
    <row r="1828" spans="1:4">
      <c r="A1828" t="s">
        <v>5</v>
      </c>
      <c r="B1828" t="s">
        <v>141</v>
      </c>
      <c r="C1828" s="8">
        <v>46177</v>
      </c>
      <c r="D1828" s="9">
        <v>34978</v>
      </c>
    </row>
    <row r="1829" spans="1:4">
      <c r="A1829" t="s">
        <v>27</v>
      </c>
      <c r="B1829" t="s">
        <v>237</v>
      </c>
      <c r="C1829" s="8">
        <v>46178</v>
      </c>
      <c r="D1829" s="9">
        <v>5200</v>
      </c>
    </row>
    <row r="1830" spans="1:4">
      <c r="A1830" t="s">
        <v>4</v>
      </c>
      <c r="B1830" t="s">
        <v>269</v>
      </c>
      <c r="C1830" s="8">
        <v>46178</v>
      </c>
      <c r="D1830" s="9">
        <v>29868</v>
      </c>
    </row>
    <row r="1831" spans="1:4">
      <c r="A1831" t="s">
        <v>4</v>
      </c>
      <c r="B1831" t="s">
        <v>168</v>
      </c>
      <c r="C1831" s="8">
        <v>46178</v>
      </c>
      <c r="D1831" s="9">
        <v>34834</v>
      </c>
    </row>
    <row r="1832" spans="1:4">
      <c r="A1832" t="s">
        <v>4</v>
      </c>
      <c r="B1832" t="s">
        <v>48</v>
      </c>
      <c r="C1832" s="8">
        <v>46178</v>
      </c>
      <c r="D1832" s="9">
        <v>39646</v>
      </c>
    </row>
    <row r="1833" spans="1:4">
      <c r="A1833" t="s">
        <v>30</v>
      </c>
      <c r="B1833" t="s">
        <v>156</v>
      </c>
      <c r="C1833" s="8">
        <v>46178</v>
      </c>
      <c r="D1833" s="9">
        <v>13784</v>
      </c>
    </row>
    <row r="1834" spans="1:4">
      <c r="A1834" t="s">
        <v>6</v>
      </c>
      <c r="B1834" t="s">
        <v>275</v>
      </c>
      <c r="C1834" s="8">
        <v>46178</v>
      </c>
      <c r="D1834" s="9">
        <v>31339</v>
      </c>
    </row>
    <row r="1835" spans="1:4">
      <c r="A1835" t="s">
        <v>6</v>
      </c>
      <c r="B1835" t="s">
        <v>200</v>
      </c>
      <c r="C1835" s="8">
        <v>46178</v>
      </c>
      <c r="D1835" s="9">
        <v>9518</v>
      </c>
    </row>
    <row r="1836" spans="1:4">
      <c r="A1836" t="s">
        <v>9</v>
      </c>
      <c r="B1836" t="s">
        <v>150</v>
      </c>
      <c r="C1836" s="8">
        <v>46178</v>
      </c>
      <c r="D1836" s="9">
        <v>25099</v>
      </c>
    </row>
    <row r="1837" spans="1:4">
      <c r="A1837" t="s">
        <v>5</v>
      </c>
      <c r="B1837" t="s">
        <v>110</v>
      </c>
      <c r="C1837" s="8">
        <v>46178</v>
      </c>
      <c r="D1837" s="9">
        <v>37801</v>
      </c>
    </row>
    <row r="1838" spans="1:4">
      <c r="A1838" t="s">
        <v>5</v>
      </c>
      <c r="B1838" t="s">
        <v>221</v>
      </c>
      <c r="C1838" s="8">
        <v>46178</v>
      </c>
      <c r="D1838" s="9">
        <v>54173</v>
      </c>
    </row>
    <row r="1839" spans="1:4">
      <c r="A1839" t="s">
        <v>5</v>
      </c>
      <c r="B1839" t="s">
        <v>93</v>
      </c>
      <c r="C1839" s="8">
        <v>46178</v>
      </c>
      <c r="D1839" s="9">
        <v>42678</v>
      </c>
    </row>
    <row r="1840" spans="1:4">
      <c r="A1840" t="s">
        <v>5</v>
      </c>
      <c r="B1840" t="s">
        <v>125</v>
      </c>
      <c r="C1840" s="8">
        <v>46178</v>
      </c>
      <c r="D1840" s="9">
        <v>50571</v>
      </c>
    </row>
    <row r="1841" spans="1:4">
      <c r="A1841" t="s">
        <v>35</v>
      </c>
      <c r="B1841" t="s">
        <v>58</v>
      </c>
      <c r="C1841" s="8">
        <v>46179</v>
      </c>
      <c r="D1841" s="9">
        <v>10900</v>
      </c>
    </row>
    <row r="1842" spans="1:4">
      <c r="A1842" t="s">
        <v>4</v>
      </c>
      <c r="B1842" t="s">
        <v>191</v>
      </c>
      <c r="C1842" s="8">
        <v>46179</v>
      </c>
      <c r="D1842" s="9">
        <v>46834</v>
      </c>
    </row>
    <row r="1843" spans="1:4">
      <c r="A1843" t="s">
        <v>4</v>
      </c>
      <c r="B1843" t="s">
        <v>260</v>
      </c>
      <c r="C1843" s="8">
        <v>46179</v>
      </c>
      <c r="D1843" s="9">
        <v>11871</v>
      </c>
    </row>
    <row r="1844" spans="1:4">
      <c r="A1844" t="s">
        <v>25</v>
      </c>
      <c r="B1844" t="s">
        <v>127</v>
      </c>
      <c r="C1844" s="8">
        <v>46179</v>
      </c>
      <c r="D1844" s="9">
        <v>35824</v>
      </c>
    </row>
    <row r="1845" spans="1:4">
      <c r="A1845" t="s">
        <v>34</v>
      </c>
      <c r="B1845" t="s">
        <v>215</v>
      </c>
      <c r="C1845" s="8">
        <v>46179</v>
      </c>
      <c r="D1845" s="9">
        <v>5489</v>
      </c>
    </row>
    <row r="1846" spans="1:4">
      <c r="A1846" t="s">
        <v>7</v>
      </c>
      <c r="B1846" t="s">
        <v>70</v>
      </c>
      <c r="C1846" s="8">
        <v>46179</v>
      </c>
      <c r="D1846" s="9">
        <v>28547</v>
      </c>
    </row>
    <row r="1847" spans="1:4">
      <c r="A1847" t="s">
        <v>7</v>
      </c>
      <c r="B1847" t="s">
        <v>77</v>
      </c>
      <c r="C1847" s="8">
        <v>46179</v>
      </c>
      <c r="D1847" s="9">
        <v>27293</v>
      </c>
    </row>
    <row r="1848" spans="1:4">
      <c r="A1848" t="s">
        <v>7</v>
      </c>
      <c r="B1848" t="s">
        <v>135</v>
      </c>
      <c r="C1848" s="8">
        <v>46179</v>
      </c>
      <c r="D1848" s="9">
        <v>37407</v>
      </c>
    </row>
    <row r="1849" spans="1:4">
      <c r="A1849" t="s">
        <v>9</v>
      </c>
      <c r="B1849" t="s">
        <v>178</v>
      </c>
      <c r="C1849" s="8">
        <v>46179</v>
      </c>
      <c r="D1849" s="9">
        <v>48976</v>
      </c>
    </row>
    <row r="1850" spans="1:4">
      <c r="A1850" t="s">
        <v>9</v>
      </c>
      <c r="B1850" t="s">
        <v>92</v>
      </c>
      <c r="C1850" s="8">
        <v>46179</v>
      </c>
      <c r="D1850" s="9">
        <v>37861</v>
      </c>
    </row>
    <row r="1851" spans="1:4">
      <c r="A1851" t="s">
        <v>5</v>
      </c>
      <c r="B1851" t="s">
        <v>110</v>
      </c>
      <c r="C1851" s="8">
        <v>46179</v>
      </c>
      <c r="D1851" s="9">
        <v>39291</v>
      </c>
    </row>
    <row r="1852" spans="1:4">
      <c r="A1852" t="s">
        <v>5</v>
      </c>
      <c r="B1852" t="s">
        <v>184</v>
      </c>
      <c r="C1852" s="8">
        <v>46179</v>
      </c>
      <c r="D1852" s="9">
        <v>36839</v>
      </c>
    </row>
    <row r="1853" spans="1:4">
      <c r="A1853" t="s">
        <v>5</v>
      </c>
      <c r="B1853" t="s">
        <v>158</v>
      </c>
      <c r="C1853" s="8">
        <v>46179</v>
      </c>
      <c r="D1853" s="9">
        <v>45692</v>
      </c>
    </row>
    <row r="1854" spans="1:4">
      <c r="A1854" t="s">
        <v>5</v>
      </c>
      <c r="B1854" t="s">
        <v>81</v>
      </c>
      <c r="C1854" s="8">
        <v>46179</v>
      </c>
      <c r="D1854" s="9">
        <v>33168</v>
      </c>
    </row>
    <row r="1855" spans="1:4">
      <c r="A1855" t="s">
        <v>5</v>
      </c>
      <c r="B1855" t="s">
        <v>118</v>
      </c>
      <c r="C1855" s="8">
        <v>46179</v>
      </c>
      <c r="D1855" s="9">
        <v>33117</v>
      </c>
    </row>
    <row r="1856" spans="1:4">
      <c r="A1856" t="s">
        <v>4</v>
      </c>
      <c r="B1856" t="s">
        <v>271</v>
      </c>
      <c r="C1856" s="8">
        <v>46180</v>
      </c>
      <c r="D1856" s="9">
        <v>35910</v>
      </c>
    </row>
    <row r="1857" spans="1:4">
      <c r="A1857" t="s">
        <v>4</v>
      </c>
      <c r="B1857" t="s">
        <v>213</v>
      </c>
      <c r="C1857" s="8">
        <v>46180</v>
      </c>
      <c r="D1857" s="9">
        <v>31776</v>
      </c>
    </row>
    <row r="1858" spans="1:4">
      <c r="A1858" t="s">
        <v>25</v>
      </c>
      <c r="B1858" t="s">
        <v>153</v>
      </c>
      <c r="C1858" s="8">
        <v>46180</v>
      </c>
      <c r="D1858" s="9">
        <v>12374</v>
      </c>
    </row>
    <row r="1859" spans="1:4">
      <c r="A1859" t="s">
        <v>33</v>
      </c>
      <c r="B1859" t="s">
        <v>253</v>
      </c>
      <c r="C1859" s="8">
        <v>46180</v>
      </c>
      <c r="D1859" s="9">
        <v>16581</v>
      </c>
    </row>
    <row r="1860" spans="1:4">
      <c r="A1860" t="s">
        <v>29</v>
      </c>
      <c r="B1860" t="s">
        <v>59</v>
      </c>
      <c r="C1860" s="8">
        <v>46180</v>
      </c>
      <c r="D1860" s="9">
        <v>15826</v>
      </c>
    </row>
    <row r="1861" spans="1:4">
      <c r="A1861" t="s">
        <v>9</v>
      </c>
      <c r="B1861" t="s">
        <v>130</v>
      </c>
      <c r="C1861" s="8">
        <v>46180</v>
      </c>
      <c r="D1861" s="9">
        <v>46826</v>
      </c>
    </row>
    <row r="1862" spans="1:4">
      <c r="A1862" t="s">
        <v>9</v>
      </c>
      <c r="B1862" t="s">
        <v>258</v>
      </c>
      <c r="C1862" s="8">
        <v>46180</v>
      </c>
      <c r="D1862" s="9">
        <v>59323</v>
      </c>
    </row>
    <row r="1863" spans="1:4">
      <c r="A1863" t="s">
        <v>9</v>
      </c>
      <c r="B1863" t="s">
        <v>131</v>
      </c>
      <c r="C1863" s="8">
        <v>46180</v>
      </c>
      <c r="D1863" s="9">
        <v>55651</v>
      </c>
    </row>
    <row r="1864" spans="1:4">
      <c r="A1864" t="s">
        <v>5</v>
      </c>
      <c r="B1864" t="s">
        <v>104</v>
      </c>
      <c r="C1864" s="8">
        <v>46180</v>
      </c>
      <c r="D1864" s="9">
        <v>51151</v>
      </c>
    </row>
    <row r="1865" spans="1:4">
      <c r="A1865" t="s">
        <v>5</v>
      </c>
      <c r="B1865" t="s">
        <v>191</v>
      </c>
      <c r="C1865" s="8">
        <v>46180</v>
      </c>
      <c r="D1865" s="9">
        <v>32957</v>
      </c>
    </row>
    <row r="1866" spans="1:4">
      <c r="A1866" t="s">
        <v>4</v>
      </c>
      <c r="B1866" t="s">
        <v>117</v>
      </c>
      <c r="C1866" s="8">
        <v>46181</v>
      </c>
      <c r="D1866" s="9">
        <v>32331</v>
      </c>
    </row>
    <row r="1867" spans="1:4">
      <c r="A1867" t="s">
        <v>4</v>
      </c>
      <c r="B1867" t="s">
        <v>205</v>
      </c>
      <c r="C1867" s="8">
        <v>46181</v>
      </c>
      <c r="D1867" s="9">
        <v>50859</v>
      </c>
    </row>
    <row r="1868" spans="1:4">
      <c r="A1868" t="s">
        <v>8</v>
      </c>
      <c r="B1868" t="s">
        <v>122</v>
      </c>
      <c r="C1868" s="8">
        <v>46181</v>
      </c>
      <c r="D1868" s="9">
        <v>19421</v>
      </c>
    </row>
    <row r="1869" spans="1:4">
      <c r="A1869" t="s">
        <v>6</v>
      </c>
      <c r="B1869" t="s">
        <v>72</v>
      </c>
      <c r="C1869" s="8">
        <v>46181</v>
      </c>
      <c r="D1869" s="9">
        <v>21750</v>
      </c>
    </row>
    <row r="1870" spans="1:4">
      <c r="A1870" t="s">
        <v>9</v>
      </c>
      <c r="B1870" t="s">
        <v>101</v>
      </c>
      <c r="C1870" s="8">
        <v>46181</v>
      </c>
      <c r="D1870" s="9">
        <v>23725</v>
      </c>
    </row>
    <row r="1871" spans="1:4">
      <c r="A1871" t="s">
        <v>9</v>
      </c>
      <c r="B1871" t="s">
        <v>65</v>
      </c>
      <c r="C1871" s="8">
        <v>46181</v>
      </c>
      <c r="D1871" s="9">
        <v>39142</v>
      </c>
    </row>
    <row r="1872" spans="1:4">
      <c r="A1872" t="s">
        <v>9</v>
      </c>
      <c r="B1872" t="s">
        <v>51</v>
      </c>
      <c r="C1872" s="8">
        <v>46181</v>
      </c>
      <c r="D1872" s="9">
        <v>44758</v>
      </c>
    </row>
    <row r="1873" spans="1:4">
      <c r="A1873" t="s">
        <v>5</v>
      </c>
      <c r="B1873" t="s">
        <v>115</v>
      </c>
      <c r="C1873" s="8">
        <v>46181</v>
      </c>
      <c r="D1873" s="9">
        <v>42536</v>
      </c>
    </row>
    <row r="1874" spans="1:4">
      <c r="A1874" t="s">
        <v>5</v>
      </c>
      <c r="B1874" t="s">
        <v>95</v>
      </c>
      <c r="C1874" s="8">
        <v>46181</v>
      </c>
      <c r="D1874" s="9">
        <v>39806</v>
      </c>
    </row>
    <row r="1875" spans="1:4">
      <c r="A1875" t="s">
        <v>4</v>
      </c>
      <c r="B1875" t="s">
        <v>229</v>
      </c>
      <c r="C1875" s="8">
        <v>46182</v>
      </c>
      <c r="D1875" s="9">
        <v>45281</v>
      </c>
    </row>
    <row r="1876" spans="1:4">
      <c r="A1876" t="s">
        <v>4</v>
      </c>
      <c r="B1876" t="s">
        <v>243</v>
      </c>
      <c r="C1876" s="8">
        <v>46182</v>
      </c>
      <c r="D1876" s="9">
        <v>45184</v>
      </c>
    </row>
    <row r="1877" spans="1:4">
      <c r="A1877" t="s">
        <v>25</v>
      </c>
      <c r="B1877" t="s">
        <v>126</v>
      </c>
      <c r="C1877" s="8">
        <v>46182</v>
      </c>
      <c r="D1877" s="9">
        <v>17761</v>
      </c>
    </row>
    <row r="1878" spans="1:4">
      <c r="A1878" t="s">
        <v>26</v>
      </c>
      <c r="B1878" t="s">
        <v>245</v>
      </c>
      <c r="C1878" s="8">
        <v>46182</v>
      </c>
      <c r="D1878" s="9">
        <v>18735</v>
      </c>
    </row>
    <row r="1879" spans="1:4">
      <c r="A1879" t="s">
        <v>34</v>
      </c>
      <c r="B1879" t="s">
        <v>225</v>
      </c>
      <c r="C1879" s="8">
        <v>46182</v>
      </c>
      <c r="D1879" s="9">
        <v>25563</v>
      </c>
    </row>
    <row r="1880" spans="1:4">
      <c r="A1880" t="s">
        <v>6</v>
      </c>
      <c r="B1880" t="s">
        <v>262</v>
      </c>
      <c r="C1880" s="8">
        <v>46182</v>
      </c>
      <c r="D1880" s="9">
        <v>21284</v>
      </c>
    </row>
    <row r="1881" spans="1:4">
      <c r="A1881" t="s">
        <v>29</v>
      </c>
      <c r="B1881" t="s">
        <v>226</v>
      </c>
      <c r="C1881" s="8">
        <v>46182</v>
      </c>
      <c r="D1881" s="9">
        <v>15194</v>
      </c>
    </row>
    <row r="1882" spans="1:4">
      <c r="A1882" t="s">
        <v>9</v>
      </c>
      <c r="B1882" t="s">
        <v>227</v>
      </c>
      <c r="C1882" s="8">
        <v>46182</v>
      </c>
      <c r="D1882" s="9">
        <v>28275</v>
      </c>
    </row>
    <row r="1883" spans="1:4">
      <c r="A1883" t="s">
        <v>5</v>
      </c>
      <c r="B1883" t="s">
        <v>115</v>
      </c>
      <c r="C1883" s="8">
        <v>46182</v>
      </c>
      <c r="D1883" s="9">
        <v>28525</v>
      </c>
    </row>
    <row r="1884" spans="1:4">
      <c r="A1884" t="s">
        <v>5</v>
      </c>
      <c r="B1884" t="s">
        <v>132</v>
      </c>
      <c r="C1884" s="8">
        <v>46182</v>
      </c>
      <c r="D1884" s="9">
        <v>27003</v>
      </c>
    </row>
    <row r="1885" spans="1:4">
      <c r="A1885" t="s">
        <v>5</v>
      </c>
      <c r="B1885" t="s">
        <v>242</v>
      </c>
      <c r="C1885" s="8">
        <v>46182</v>
      </c>
      <c r="D1885" s="9">
        <v>37218</v>
      </c>
    </row>
    <row r="1886" spans="1:4">
      <c r="A1886" t="s">
        <v>5</v>
      </c>
      <c r="B1886" t="s">
        <v>190</v>
      </c>
      <c r="C1886" s="8">
        <v>46182</v>
      </c>
      <c r="D1886" s="9">
        <v>23540</v>
      </c>
    </row>
    <row r="1887" spans="1:4">
      <c r="A1887" t="s">
        <v>27</v>
      </c>
      <c r="B1887" t="s">
        <v>259</v>
      </c>
      <c r="C1887" s="8">
        <v>46183</v>
      </c>
      <c r="D1887" s="9">
        <v>5200</v>
      </c>
    </row>
    <row r="1888" spans="1:4">
      <c r="A1888" t="s">
        <v>4</v>
      </c>
      <c r="B1888" t="s">
        <v>147</v>
      </c>
      <c r="C1888" s="8">
        <v>46183</v>
      </c>
      <c r="D1888" s="9">
        <v>26103</v>
      </c>
    </row>
    <row r="1889" spans="1:4">
      <c r="A1889" t="s">
        <v>8</v>
      </c>
      <c r="B1889" t="s">
        <v>246</v>
      </c>
      <c r="C1889" s="8">
        <v>46183</v>
      </c>
      <c r="D1889" s="9">
        <v>24338</v>
      </c>
    </row>
    <row r="1890" spans="1:4">
      <c r="A1890" t="s">
        <v>7</v>
      </c>
      <c r="B1890" t="s">
        <v>145</v>
      </c>
      <c r="C1890" s="8">
        <v>46183</v>
      </c>
      <c r="D1890" s="9">
        <v>25108</v>
      </c>
    </row>
    <row r="1891" spans="1:4">
      <c r="A1891" t="s">
        <v>7</v>
      </c>
      <c r="B1891" t="s">
        <v>54</v>
      </c>
      <c r="C1891" s="8">
        <v>46183</v>
      </c>
      <c r="D1891" s="9">
        <v>33972</v>
      </c>
    </row>
    <row r="1892" spans="1:4">
      <c r="A1892" t="s">
        <v>9</v>
      </c>
      <c r="B1892" t="s">
        <v>269</v>
      </c>
      <c r="C1892" s="8">
        <v>46183</v>
      </c>
      <c r="D1892" s="9">
        <v>39341</v>
      </c>
    </row>
    <row r="1893" spans="1:4">
      <c r="A1893" t="s">
        <v>9</v>
      </c>
      <c r="B1893" t="s">
        <v>174</v>
      </c>
      <c r="C1893" s="8">
        <v>46183</v>
      </c>
      <c r="D1893" s="9">
        <v>47999</v>
      </c>
    </row>
    <row r="1894" spans="1:4">
      <c r="A1894" t="s">
        <v>4</v>
      </c>
      <c r="B1894" t="s">
        <v>61</v>
      </c>
      <c r="C1894" s="8">
        <v>46184</v>
      </c>
      <c r="D1894" s="9">
        <v>37816</v>
      </c>
    </row>
    <row r="1895" spans="1:4">
      <c r="A1895" t="s">
        <v>4</v>
      </c>
      <c r="B1895" t="s">
        <v>85</v>
      </c>
      <c r="C1895" s="8">
        <v>46184</v>
      </c>
      <c r="D1895" s="9">
        <v>35199</v>
      </c>
    </row>
    <row r="1896" spans="1:4">
      <c r="A1896" t="s">
        <v>31</v>
      </c>
      <c r="B1896" t="s">
        <v>99</v>
      </c>
      <c r="C1896" s="8">
        <v>46184</v>
      </c>
      <c r="D1896" s="9">
        <v>17896</v>
      </c>
    </row>
    <row r="1897" spans="1:4">
      <c r="A1897" t="s">
        <v>25</v>
      </c>
      <c r="B1897" t="s">
        <v>169</v>
      </c>
      <c r="C1897" s="8">
        <v>46184</v>
      </c>
      <c r="D1897" s="9">
        <v>31895</v>
      </c>
    </row>
    <row r="1898" spans="1:4">
      <c r="A1898" t="s">
        <v>28</v>
      </c>
      <c r="B1898" t="s">
        <v>154</v>
      </c>
      <c r="C1898" s="8">
        <v>46184</v>
      </c>
      <c r="D1898" s="9">
        <v>15230</v>
      </c>
    </row>
    <row r="1899" spans="1:4">
      <c r="A1899" t="s">
        <v>28</v>
      </c>
      <c r="B1899" t="s">
        <v>254</v>
      </c>
      <c r="C1899" s="8">
        <v>46184</v>
      </c>
      <c r="D1899" s="9">
        <v>15722</v>
      </c>
    </row>
    <row r="1900" spans="1:4">
      <c r="A1900" t="s">
        <v>26</v>
      </c>
      <c r="B1900" t="s">
        <v>149</v>
      </c>
      <c r="C1900" s="8">
        <v>46184</v>
      </c>
      <c r="D1900" s="9">
        <v>27973</v>
      </c>
    </row>
    <row r="1901" spans="1:4">
      <c r="A1901" t="s">
        <v>26</v>
      </c>
      <c r="B1901" t="s">
        <v>97</v>
      </c>
      <c r="C1901" s="8">
        <v>46184</v>
      </c>
      <c r="D1901" s="9">
        <v>17909</v>
      </c>
    </row>
    <row r="1902" spans="1:4">
      <c r="A1902" t="s">
        <v>32</v>
      </c>
      <c r="B1902" t="s">
        <v>233</v>
      </c>
      <c r="C1902" s="8">
        <v>46184</v>
      </c>
      <c r="D1902" s="9">
        <v>10119</v>
      </c>
    </row>
    <row r="1903" spans="1:4">
      <c r="A1903" t="s">
        <v>6</v>
      </c>
      <c r="B1903" t="s">
        <v>112</v>
      </c>
      <c r="C1903" s="8">
        <v>46184</v>
      </c>
      <c r="D1903" s="9">
        <v>23435</v>
      </c>
    </row>
    <row r="1904" spans="1:4">
      <c r="A1904" t="s">
        <v>9</v>
      </c>
      <c r="B1904" t="s">
        <v>96</v>
      </c>
      <c r="C1904" s="8">
        <v>46184</v>
      </c>
      <c r="D1904" s="9">
        <v>43426</v>
      </c>
    </row>
    <row r="1905" spans="1:4">
      <c r="A1905" t="s">
        <v>9</v>
      </c>
      <c r="B1905" t="s">
        <v>172</v>
      </c>
      <c r="C1905" s="8">
        <v>46184</v>
      </c>
      <c r="D1905" s="9">
        <v>43328</v>
      </c>
    </row>
    <row r="1906" spans="1:4">
      <c r="A1906" t="s">
        <v>9</v>
      </c>
      <c r="B1906" t="s">
        <v>48</v>
      </c>
      <c r="C1906" s="8">
        <v>46184</v>
      </c>
      <c r="D1906" s="9">
        <v>32567</v>
      </c>
    </row>
    <row r="1907" spans="1:4">
      <c r="A1907" t="s">
        <v>5</v>
      </c>
      <c r="B1907" t="s">
        <v>191</v>
      </c>
      <c r="C1907" s="8">
        <v>46184</v>
      </c>
      <c r="D1907" s="9">
        <v>31857</v>
      </c>
    </row>
    <row r="1908" spans="1:4">
      <c r="A1908" t="s">
        <v>5</v>
      </c>
      <c r="B1908" t="s">
        <v>140</v>
      </c>
      <c r="C1908" s="8">
        <v>46184</v>
      </c>
      <c r="D1908" s="9">
        <v>49386</v>
      </c>
    </row>
    <row r="1909" spans="1:4">
      <c r="A1909" t="s">
        <v>5</v>
      </c>
      <c r="B1909" t="s">
        <v>141</v>
      </c>
      <c r="C1909" s="8">
        <v>46184</v>
      </c>
      <c r="D1909" s="9">
        <v>38057</v>
      </c>
    </row>
    <row r="1910" spans="1:4">
      <c r="A1910" t="s">
        <v>4</v>
      </c>
      <c r="B1910" t="s">
        <v>133</v>
      </c>
      <c r="C1910" s="8">
        <v>46185</v>
      </c>
      <c r="D1910" s="9">
        <v>7329</v>
      </c>
    </row>
    <row r="1911" spans="1:4">
      <c r="A1911" t="s">
        <v>4</v>
      </c>
      <c r="B1911" t="s">
        <v>116</v>
      </c>
      <c r="C1911" s="8">
        <v>46185</v>
      </c>
      <c r="D1911" s="9">
        <v>34272</v>
      </c>
    </row>
    <row r="1912" spans="1:4">
      <c r="A1912" t="s">
        <v>4</v>
      </c>
      <c r="B1912" t="s">
        <v>119</v>
      </c>
      <c r="C1912" s="8">
        <v>46185</v>
      </c>
      <c r="D1912" s="9">
        <v>41081</v>
      </c>
    </row>
    <row r="1913" spans="1:4">
      <c r="A1913" t="s">
        <v>31</v>
      </c>
      <c r="B1913" t="s">
        <v>107</v>
      </c>
      <c r="C1913" s="8">
        <v>46185</v>
      </c>
      <c r="D1913" s="9">
        <v>6218</v>
      </c>
    </row>
    <row r="1914" spans="1:4">
      <c r="A1914" t="s">
        <v>6</v>
      </c>
      <c r="B1914" t="s">
        <v>84</v>
      </c>
      <c r="C1914" s="8">
        <v>46185</v>
      </c>
      <c r="D1914" s="9">
        <v>16064</v>
      </c>
    </row>
    <row r="1915" spans="1:4">
      <c r="A1915" t="s">
        <v>7</v>
      </c>
      <c r="B1915" t="s">
        <v>47</v>
      </c>
      <c r="C1915" s="8">
        <v>46185</v>
      </c>
      <c r="D1915" s="9">
        <v>7960</v>
      </c>
    </row>
    <row r="1916" spans="1:4">
      <c r="A1916" t="s">
        <v>7</v>
      </c>
      <c r="B1916" t="s">
        <v>76</v>
      </c>
      <c r="C1916" s="8">
        <v>46185</v>
      </c>
      <c r="D1916" s="9">
        <v>26580</v>
      </c>
    </row>
    <row r="1917" spans="1:4">
      <c r="A1917" t="s">
        <v>9</v>
      </c>
      <c r="B1917" t="s">
        <v>144</v>
      </c>
      <c r="C1917" s="8">
        <v>46185</v>
      </c>
      <c r="D1917" s="9">
        <v>36108</v>
      </c>
    </row>
    <row r="1918" spans="1:4">
      <c r="A1918" t="s">
        <v>5</v>
      </c>
      <c r="B1918" t="s">
        <v>96</v>
      </c>
      <c r="C1918" s="8">
        <v>46185</v>
      </c>
      <c r="D1918" s="9">
        <v>34352</v>
      </c>
    </row>
    <row r="1919" spans="1:4">
      <c r="A1919" t="s">
        <v>5</v>
      </c>
      <c r="B1919" t="s">
        <v>158</v>
      </c>
      <c r="C1919" s="8">
        <v>46185</v>
      </c>
      <c r="D1919" s="9">
        <v>44548</v>
      </c>
    </row>
    <row r="1920" spans="1:4">
      <c r="A1920" t="s">
        <v>5</v>
      </c>
      <c r="B1920" t="s">
        <v>103</v>
      </c>
      <c r="C1920" s="8">
        <v>46185</v>
      </c>
      <c r="D1920" s="9">
        <v>45187</v>
      </c>
    </row>
    <row r="1921" spans="1:4">
      <c r="A1921" t="s">
        <v>5</v>
      </c>
      <c r="B1921" t="s">
        <v>81</v>
      </c>
      <c r="C1921" s="8">
        <v>46185</v>
      </c>
      <c r="D1921" s="9">
        <v>52929</v>
      </c>
    </row>
    <row r="1922" spans="1:4">
      <c r="A1922" t="s">
        <v>5</v>
      </c>
      <c r="B1922" t="s">
        <v>105</v>
      </c>
      <c r="C1922" s="8">
        <v>46185</v>
      </c>
      <c r="D1922" s="9">
        <v>45495</v>
      </c>
    </row>
    <row r="1923" spans="1:4">
      <c r="A1923" t="s">
        <v>27</v>
      </c>
      <c r="B1923" t="s">
        <v>142</v>
      </c>
      <c r="C1923" s="8">
        <v>46186</v>
      </c>
      <c r="D1923" s="9">
        <v>14045</v>
      </c>
    </row>
    <row r="1924" spans="1:4">
      <c r="A1924" t="s">
        <v>9</v>
      </c>
      <c r="B1924" t="s">
        <v>206</v>
      </c>
      <c r="C1924" s="8">
        <v>46186</v>
      </c>
      <c r="D1924" s="9">
        <v>45238</v>
      </c>
    </row>
    <row r="1925" spans="1:4">
      <c r="A1925" t="s">
        <v>9</v>
      </c>
      <c r="B1925" t="s">
        <v>129</v>
      </c>
      <c r="C1925" s="8">
        <v>46186</v>
      </c>
      <c r="D1925" s="9">
        <v>41124</v>
      </c>
    </row>
    <row r="1926" spans="1:4">
      <c r="A1926" t="s">
        <v>9</v>
      </c>
      <c r="B1926" t="s">
        <v>51</v>
      </c>
      <c r="C1926" s="8">
        <v>46186</v>
      </c>
      <c r="D1926" s="9">
        <v>35361</v>
      </c>
    </row>
    <row r="1927" spans="1:4">
      <c r="A1927" t="s">
        <v>9</v>
      </c>
      <c r="B1927" t="s">
        <v>57</v>
      </c>
      <c r="C1927" s="8">
        <v>46186</v>
      </c>
      <c r="D1927" s="9">
        <v>22624</v>
      </c>
    </row>
    <row r="1928" spans="1:4">
      <c r="A1928" t="s">
        <v>5</v>
      </c>
      <c r="B1928" t="s">
        <v>184</v>
      </c>
      <c r="C1928" s="8">
        <v>46186</v>
      </c>
      <c r="D1928" s="9">
        <v>44202</v>
      </c>
    </row>
    <row r="1929" spans="1:4">
      <c r="A1929" t="s">
        <v>5</v>
      </c>
      <c r="B1929" t="s">
        <v>209</v>
      </c>
      <c r="C1929" s="8">
        <v>46186</v>
      </c>
      <c r="D1929" s="9">
        <v>36793</v>
      </c>
    </row>
    <row r="1930" spans="1:4">
      <c r="A1930" t="s">
        <v>5</v>
      </c>
      <c r="B1930" t="s">
        <v>197</v>
      </c>
      <c r="C1930" s="8">
        <v>46186</v>
      </c>
      <c r="D1930" s="9">
        <v>38795</v>
      </c>
    </row>
    <row r="1931" spans="1:4">
      <c r="A1931" t="s">
        <v>5</v>
      </c>
      <c r="B1931" t="s">
        <v>243</v>
      </c>
      <c r="C1931" s="8">
        <v>46186</v>
      </c>
      <c r="D1931" s="9">
        <v>38933</v>
      </c>
    </row>
    <row r="1932" spans="1:4">
      <c r="A1932" t="s">
        <v>5</v>
      </c>
      <c r="B1932" t="s">
        <v>191</v>
      </c>
      <c r="C1932" s="8">
        <v>46186</v>
      </c>
      <c r="D1932" s="9">
        <v>44446</v>
      </c>
    </row>
    <row r="1933" spans="1:4">
      <c r="A1933" t="s">
        <v>5</v>
      </c>
      <c r="B1933" t="s">
        <v>174</v>
      </c>
      <c r="C1933" s="8">
        <v>46186</v>
      </c>
      <c r="D1933" s="9">
        <v>36490</v>
      </c>
    </row>
    <row r="1934" spans="1:4">
      <c r="A1934" t="s">
        <v>5</v>
      </c>
      <c r="B1934" t="s">
        <v>141</v>
      </c>
      <c r="C1934" s="8">
        <v>46186</v>
      </c>
      <c r="D1934" s="9">
        <v>42095</v>
      </c>
    </row>
    <row r="1935" spans="1:4">
      <c r="A1935" t="s">
        <v>4</v>
      </c>
      <c r="B1935" t="s">
        <v>208</v>
      </c>
      <c r="C1935" s="8">
        <v>46187</v>
      </c>
      <c r="D1935" s="9">
        <v>33414</v>
      </c>
    </row>
    <row r="1936" spans="1:4">
      <c r="A1936" t="s">
        <v>25</v>
      </c>
      <c r="B1936" t="s">
        <v>162</v>
      </c>
      <c r="C1936" s="8">
        <v>46187</v>
      </c>
      <c r="D1936" s="9">
        <v>21478</v>
      </c>
    </row>
    <row r="1937" spans="1:4">
      <c r="A1937" t="s">
        <v>8</v>
      </c>
      <c r="B1937" t="s">
        <v>63</v>
      </c>
      <c r="C1937" s="8">
        <v>46187</v>
      </c>
      <c r="D1937" s="9">
        <v>18583</v>
      </c>
    </row>
    <row r="1938" spans="1:4">
      <c r="A1938" t="s">
        <v>32</v>
      </c>
      <c r="B1938" t="s">
        <v>87</v>
      </c>
      <c r="C1938" s="8">
        <v>46187</v>
      </c>
      <c r="D1938" s="9">
        <v>13816</v>
      </c>
    </row>
    <row r="1939" spans="1:4">
      <c r="A1939" t="s">
        <v>7</v>
      </c>
      <c r="B1939" t="s">
        <v>249</v>
      </c>
      <c r="C1939" s="8">
        <v>46187</v>
      </c>
      <c r="D1939" s="9">
        <v>23548</v>
      </c>
    </row>
    <row r="1940" spans="1:4">
      <c r="A1940" t="s">
        <v>9</v>
      </c>
      <c r="B1940" t="s">
        <v>264</v>
      </c>
      <c r="C1940" s="8">
        <v>46187</v>
      </c>
      <c r="D1940" s="9">
        <v>32041</v>
      </c>
    </row>
    <row r="1941" spans="1:4">
      <c r="A1941" t="s">
        <v>9</v>
      </c>
      <c r="B1941" t="s">
        <v>276</v>
      </c>
      <c r="C1941" s="8">
        <v>46187</v>
      </c>
      <c r="D1941" s="9">
        <v>34450</v>
      </c>
    </row>
    <row r="1942" spans="1:4">
      <c r="A1942" t="s">
        <v>9</v>
      </c>
      <c r="B1942" t="s">
        <v>166</v>
      </c>
      <c r="C1942" s="8">
        <v>46187</v>
      </c>
      <c r="D1942" s="9">
        <v>40548</v>
      </c>
    </row>
    <row r="1943" spans="1:4">
      <c r="A1943" t="s">
        <v>5</v>
      </c>
      <c r="B1943" t="s">
        <v>94</v>
      </c>
      <c r="C1943" s="8">
        <v>46187</v>
      </c>
      <c r="D1943" s="9">
        <v>43621</v>
      </c>
    </row>
    <row r="1944" spans="1:4">
      <c r="A1944" t="s">
        <v>5</v>
      </c>
      <c r="B1944" t="s">
        <v>196</v>
      </c>
      <c r="C1944" s="8">
        <v>46187</v>
      </c>
      <c r="D1944" s="9">
        <v>43100</v>
      </c>
    </row>
    <row r="1945" spans="1:4">
      <c r="A1945" t="s">
        <v>5</v>
      </c>
      <c r="B1945" t="s">
        <v>95</v>
      </c>
      <c r="C1945" s="8">
        <v>46187</v>
      </c>
      <c r="D1945" s="9">
        <v>47694</v>
      </c>
    </row>
    <row r="1946" spans="1:4">
      <c r="A1946" t="s">
        <v>5</v>
      </c>
      <c r="B1946" t="s">
        <v>167</v>
      </c>
      <c r="C1946" s="8">
        <v>46187</v>
      </c>
      <c r="D1946" s="9">
        <v>34253</v>
      </c>
    </row>
    <row r="1947" spans="1:4">
      <c r="A1947" t="s">
        <v>5</v>
      </c>
      <c r="B1947" t="s">
        <v>168</v>
      </c>
      <c r="C1947" s="8">
        <v>46187</v>
      </c>
      <c r="D1947" s="9">
        <v>44411</v>
      </c>
    </row>
    <row r="1948" spans="1:4">
      <c r="A1948" t="s">
        <v>5</v>
      </c>
      <c r="B1948" t="s">
        <v>159</v>
      </c>
      <c r="C1948" s="8">
        <v>46187</v>
      </c>
      <c r="D1948" s="9">
        <v>42812</v>
      </c>
    </row>
    <row r="1949" spans="1:4">
      <c r="A1949" t="s">
        <v>5</v>
      </c>
      <c r="B1949" t="s">
        <v>188</v>
      </c>
      <c r="C1949" s="8">
        <v>46187</v>
      </c>
      <c r="D1949" s="9">
        <v>45604</v>
      </c>
    </row>
    <row r="1950" spans="1:4">
      <c r="A1950" t="s">
        <v>5</v>
      </c>
      <c r="B1950" t="s">
        <v>205</v>
      </c>
      <c r="C1950" s="8">
        <v>46187</v>
      </c>
      <c r="D1950" s="9">
        <v>44402</v>
      </c>
    </row>
    <row r="1951" spans="1:4">
      <c r="A1951" t="s">
        <v>27</v>
      </c>
      <c r="B1951" t="s">
        <v>68</v>
      </c>
      <c r="C1951" s="8">
        <v>46188</v>
      </c>
      <c r="D1951" s="9">
        <v>14911</v>
      </c>
    </row>
    <row r="1952" spans="1:4">
      <c r="A1952" t="s">
        <v>4</v>
      </c>
      <c r="B1952" t="s">
        <v>212</v>
      </c>
      <c r="C1952" s="8">
        <v>46188</v>
      </c>
      <c r="D1952" s="9">
        <v>36418</v>
      </c>
    </row>
    <row r="1953" spans="1:4">
      <c r="A1953" t="s">
        <v>31</v>
      </c>
      <c r="B1953" t="s">
        <v>240</v>
      </c>
      <c r="C1953" s="8">
        <v>46188</v>
      </c>
      <c r="D1953" s="9">
        <v>14773</v>
      </c>
    </row>
    <row r="1954" spans="1:4">
      <c r="A1954" t="s">
        <v>25</v>
      </c>
      <c r="B1954" t="s">
        <v>108</v>
      </c>
      <c r="C1954" s="8">
        <v>46188</v>
      </c>
      <c r="D1954" s="9">
        <v>17073</v>
      </c>
    </row>
    <row r="1955" spans="1:4">
      <c r="A1955" t="s">
        <v>28</v>
      </c>
      <c r="B1955" t="s">
        <v>152</v>
      </c>
      <c r="C1955" s="8">
        <v>46188</v>
      </c>
      <c r="D1955" s="9">
        <v>14459</v>
      </c>
    </row>
    <row r="1956" spans="1:4">
      <c r="A1956" t="s">
        <v>36</v>
      </c>
      <c r="B1956" t="s">
        <v>155</v>
      </c>
      <c r="C1956" s="8">
        <v>46188</v>
      </c>
      <c r="D1956" s="9">
        <v>15852</v>
      </c>
    </row>
    <row r="1957" spans="1:4">
      <c r="A1957" t="s">
        <v>26</v>
      </c>
      <c r="B1957" t="s">
        <v>251</v>
      </c>
      <c r="C1957" s="8">
        <v>46188</v>
      </c>
      <c r="D1957" s="9">
        <v>18663</v>
      </c>
    </row>
    <row r="1958" spans="1:4">
      <c r="A1958" t="s">
        <v>30</v>
      </c>
      <c r="B1958" t="s">
        <v>157</v>
      </c>
      <c r="C1958" s="8">
        <v>46188</v>
      </c>
      <c r="D1958" s="9">
        <v>16391</v>
      </c>
    </row>
    <row r="1959" spans="1:4">
      <c r="A1959" t="s">
        <v>8</v>
      </c>
      <c r="B1959" t="s">
        <v>266</v>
      </c>
      <c r="C1959" s="8">
        <v>46188</v>
      </c>
      <c r="D1959" s="9">
        <v>7549</v>
      </c>
    </row>
    <row r="1960" spans="1:4">
      <c r="A1960" t="s">
        <v>6</v>
      </c>
      <c r="B1960" t="s">
        <v>247</v>
      </c>
      <c r="C1960" s="8">
        <v>46188</v>
      </c>
      <c r="D1960" s="9">
        <v>25946</v>
      </c>
    </row>
    <row r="1961" spans="1:4">
      <c r="A1961" t="s">
        <v>9</v>
      </c>
      <c r="B1961" t="s">
        <v>91</v>
      </c>
      <c r="C1961" s="8">
        <v>46188</v>
      </c>
      <c r="D1961" s="9">
        <v>35076</v>
      </c>
    </row>
    <row r="1962" spans="1:4">
      <c r="A1962" t="s">
        <v>9</v>
      </c>
      <c r="B1962" t="s">
        <v>88</v>
      </c>
      <c r="C1962" s="8">
        <v>46188</v>
      </c>
      <c r="D1962" s="9">
        <v>54566</v>
      </c>
    </row>
    <row r="1963" spans="1:4">
      <c r="A1963" t="s">
        <v>5</v>
      </c>
      <c r="B1963" t="s">
        <v>96</v>
      </c>
      <c r="C1963" s="8">
        <v>46188</v>
      </c>
      <c r="D1963" s="9">
        <v>38966</v>
      </c>
    </row>
    <row r="1964" spans="1:4">
      <c r="A1964" t="s">
        <v>5</v>
      </c>
      <c r="B1964" t="s">
        <v>62</v>
      </c>
      <c r="C1964" s="8">
        <v>46188</v>
      </c>
      <c r="D1964" s="9">
        <v>42931</v>
      </c>
    </row>
    <row r="1965" spans="1:4">
      <c r="A1965" t="s">
        <v>5</v>
      </c>
      <c r="B1965" t="s">
        <v>95</v>
      </c>
      <c r="C1965" s="8">
        <v>46188</v>
      </c>
      <c r="D1965" s="9">
        <v>30664</v>
      </c>
    </row>
    <row r="1966" spans="1:4">
      <c r="A1966" t="s">
        <v>5</v>
      </c>
      <c r="B1966" t="s">
        <v>95</v>
      </c>
      <c r="C1966" s="8">
        <v>46188</v>
      </c>
      <c r="D1966" s="9">
        <v>43082</v>
      </c>
    </row>
    <row r="1967" spans="1:4">
      <c r="A1967" t="s">
        <v>4</v>
      </c>
      <c r="B1967" t="s">
        <v>206</v>
      </c>
      <c r="C1967" s="8">
        <v>46189</v>
      </c>
      <c r="D1967" s="9">
        <v>50260</v>
      </c>
    </row>
    <row r="1968" spans="1:4">
      <c r="A1968" t="s">
        <v>4</v>
      </c>
      <c r="B1968" t="s">
        <v>118</v>
      </c>
      <c r="C1968" s="8">
        <v>46189</v>
      </c>
      <c r="D1968" s="9">
        <v>34496</v>
      </c>
    </row>
    <row r="1969" spans="1:4">
      <c r="A1969" t="s">
        <v>29</v>
      </c>
      <c r="B1969" t="s">
        <v>109</v>
      </c>
      <c r="C1969" s="8">
        <v>46189</v>
      </c>
      <c r="D1969" s="9">
        <v>9519</v>
      </c>
    </row>
    <row r="1970" spans="1:4">
      <c r="A1970" t="s">
        <v>7</v>
      </c>
      <c r="B1970" t="s">
        <v>268</v>
      </c>
      <c r="C1970" s="8">
        <v>46189</v>
      </c>
      <c r="D1970" s="9">
        <v>32985</v>
      </c>
    </row>
    <row r="1971" spans="1:4">
      <c r="A1971" t="s">
        <v>9</v>
      </c>
      <c r="B1971" t="s">
        <v>208</v>
      </c>
      <c r="C1971" s="8">
        <v>46189</v>
      </c>
      <c r="D1971" s="9">
        <v>34002</v>
      </c>
    </row>
    <row r="1972" spans="1:4">
      <c r="A1972" t="s">
        <v>9</v>
      </c>
      <c r="B1972" t="s">
        <v>257</v>
      </c>
      <c r="C1972" s="8">
        <v>46189</v>
      </c>
      <c r="D1972" s="9">
        <v>22916</v>
      </c>
    </row>
    <row r="1973" spans="1:4">
      <c r="A1973" t="s">
        <v>9</v>
      </c>
      <c r="B1973" t="s">
        <v>244</v>
      </c>
      <c r="C1973" s="8">
        <v>46189</v>
      </c>
      <c r="D1973" s="9">
        <v>39001</v>
      </c>
    </row>
    <row r="1974" spans="1:4">
      <c r="A1974" t="s">
        <v>5</v>
      </c>
      <c r="B1974" t="s">
        <v>115</v>
      </c>
      <c r="C1974" s="8">
        <v>46189</v>
      </c>
      <c r="D1974" s="9">
        <v>31823</v>
      </c>
    </row>
    <row r="1975" spans="1:4">
      <c r="A1975" t="s">
        <v>5</v>
      </c>
      <c r="B1975" t="s">
        <v>196</v>
      </c>
      <c r="C1975" s="8">
        <v>46189</v>
      </c>
      <c r="D1975" s="9">
        <v>39258</v>
      </c>
    </row>
    <row r="1976" spans="1:4">
      <c r="A1976" t="s">
        <v>5</v>
      </c>
      <c r="B1976" t="s">
        <v>188</v>
      </c>
      <c r="C1976" s="8">
        <v>46189</v>
      </c>
      <c r="D1976" s="9">
        <v>55221</v>
      </c>
    </row>
    <row r="1977" spans="1:4">
      <c r="A1977" t="s">
        <v>4</v>
      </c>
      <c r="B1977" t="s">
        <v>231</v>
      </c>
      <c r="C1977" s="8">
        <v>46190</v>
      </c>
      <c r="D1977" s="9">
        <v>34296</v>
      </c>
    </row>
    <row r="1978" spans="1:4">
      <c r="A1978" t="s">
        <v>4</v>
      </c>
      <c r="B1978" t="s">
        <v>241</v>
      </c>
      <c r="C1978" s="8">
        <v>46190</v>
      </c>
      <c r="D1978" s="9">
        <v>41672</v>
      </c>
    </row>
    <row r="1979" spans="1:4">
      <c r="A1979" t="s">
        <v>30</v>
      </c>
      <c r="B1979" t="s">
        <v>55</v>
      </c>
      <c r="C1979" s="8">
        <v>46190</v>
      </c>
      <c r="D1979" s="9">
        <v>14599</v>
      </c>
    </row>
    <row r="1980" spans="1:4">
      <c r="A1980" t="s">
        <v>6</v>
      </c>
      <c r="B1980" t="s">
        <v>220</v>
      </c>
      <c r="C1980" s="8">
        <v>46190</v>
      </c>
      <c r="D1980" s="9">
        <v>24818</v>
      </c>
    </row>
    <row r="1981" spans="1:4">
      <c r="A1981" t="s">
        <v>9</v>
      </c>
      <c r="B1981" t="s">
        <v>264</v>
      </c>
      <c r="C1981" s="8">
        <v>46190</v>
      </c>
      <c r="D1981" s="9">
        <v>32102</v>
      </c>
    </row>
    <row r="1982" spans="1:4">
      <c r="A1982" t="s">
        <v>9</v>
      </c>
      <c r="B1982" t="s">
        <v>91</v>
      </c>
      <c r="C1982" s="8">
        <v>46190</v>
      </c>
      <c r="D1982" s="9">
        <v>44534</v>
      </c>
    </row>
    <row r="1983" spans="1:4">
      <c r="A1983" t="s">
        <v>9</v>
      </c>
      <c r="B1983" t="s">
        <v>129</v>
      </c>
      <c r="C1983" s="8">
        <v>46190</v>
      </c>
      <c r="D1983" s="9">
        <v>29602</v>
      </c>
    </row>
    <row r="1984" spans="1:4">
      <c r="A1984" t="s">
        <v>9</v>
      </c>
      <c r="B1984" t="s">
        <v>136</v>
      </c>
      <c r="C1984" s="8">
        <v>46190</v>
      </c>
      <c r="D1984" s="9">
        <v>26539</v>
      </c>
    </row>
    <row r="1985" spans="1:4">
      <c r="A1985" t="s">
        <v>5</v>
      </c>
      <c r="B1985" t="s">
        <v>132</v>
      </c>
      <c r="C1985" s="8">
        <v>46190</v>
      </c>
      <c r="D1985" s="9">
        <v>37743</v>
      </c>
    </row>
    <row r="1986" spans="1:4">
      <c r="A1986" t="s">
        <v>5</v>
      </c>
      <c r="B1986" t="s">
        <v>243</v>
      </c>
      <c r="C1986" s="8">
        <v>46190</v>
      </c>
      <c r="D1986" s="9">
        <v>47167</v>
      </c>
    </row>
    <row r="1987" spans="1:4">
      <c r="A1987" t="s">
        <v>8</v>
      </c>
      <c r="B1987" t="s">
        <v>52</v>
      </c>
      <c r="C1987" s="8">
        <v>46191</v>
      </c>
      <c r="D1987" s="9">
        <v>22489</v>
      </c>
    </row>
    <row r="1988" spans="1:4">
      <c r="A1988" t="s">
        <v>6</v>
      </c>
      <c r="B1988" t="s">
        <v>100</v>
      </c>
      <c r="C1988" s="8">
        <v>46191</v>
      </c>
      <c r="D1988" s="9">
        <v>29013</v>
      </c>
    </row>
    <row r="1989" spans="1:4">
      <c r="A1989" t="s">
        <v>9</v>
      </c>
      <c r="B1989" t="s">
        <v>130</v>
      </c>
      <c r="C1989" s="8">
        <v>46191</v>
      </c>
      <c r="D1989" s="9">
        <v>37768</v>
      </c>
    </row>
    <row r="1990" spans="1:4">
      <c r="A1990" t="s">
        <v>9</v>
      </c>
      <c r="B1990" t="s">
        <v>79</v>
      </c>
      <c r="C1990" s="8">
        <v>46191</v>
      </c>
      <c r="D1990" s="9">
        <v>51429</v>
      </c>
    </row>
    <row r="1991" spans="1:4">
      <c r="A1991" t="s">
        <v>9</v>
      </c>
      <c r="B1991" t="s">
        <v>195</v>
      </c>
      <c r="C1991" s="8">
        <v>46191</v>
      </c>
      <c r="D1991" s="9">
        <v>36993</v>
      </c>
    </row>
    <row r="1992" spans="1:4">
      <c r="A1992" t="s">
        <v>5</v>
      </c>
      <c r="B1992" t="s">
        <v>209</v>
      </c>
      <c r="C1992" s="8">
        <v>46191</v>
      </c>
      <c r="D1992" s="9">
        <v>36711</v>
      </c>
    </row>
    <row r="1993" spans="1:4">
      <c r="A1993" t="s">
        <v>5</v>
      </c>
      <c r="B1993" t="s">
        <v>94</v>
      </c>
      <c r="C1993" s="8">
        <v>46191</v>
      </c>
      <c r="D1993" s="9">
        <v>31051</v>
      </c>
    </row>
    <row r="1994" spans="1:4">
      <c r="A1994" t="s">
        <v>5</v>
      </c>
      <c r="B1994" t="s">
        <v>196</v>
      </c>
      <c r="C1994" s="8">
        <v>46191</v>
      </c>
      <c r="D1994" s="9">
        <v>49561</v>
      </c>
    </row>
    <row r="1995" spans="1:4">
      <c r="A1995" t="s">
        <v>5</v>
      </c>
      <c r="B1995" t="s">
        <v>105</v>
      </c>
      <c r="C1995" s="8">
        <v>46191</v>
      </c>
      <c r="D1995" s="9">
        <v>42464</v>
      </c>
    </row>
    <row r="1996" spans="1:4">
      <c r="A1996" t="s">
        <v>27</v>
      </c>
      <c r="B1996" t="s">
        <v>175</v>
      </c>
      <c r="C1996" s="8">
        <v>46192</v>
      </c>
      <c r="D1996" s="9">
        <v>14841</v>
      </c>
    </row>
    <row r="1997" spans="1:4">
      <c r="A1997" t="s">
        <v>7</v>
      </c>
      <c r="B1997" t="s">
        <v>114</v>
      </c>
      <c r="C1997" s="8">
        <v>46192</v>
      </c>
      <c r="D1997" s="9">
        <v>38967</v>
      </c>
    </row>
    <row r="1998" spans="1:4">
      <c r="A1998" t="s">
        <v>9</v>
      </c>
      <c r="B1998" t="s">
        <v>78</v>
      </c>
      <c r="C1998" s="8">
        <v>46192</v>
      </c>
      <c r="D1998" s="9">
        <v>43713</v>
      </c>
    </row>
    <row r="1999" spans="1:4">
      <c r="A1999" t="s">
        <v>9</v>
      </c>
      <c r="B1999" t="s">
        <v>137</v>
      </c>
      <c r="C1999" s="8">
        <v>46192</v>
      </c>
      <c r="D1999" s="9">
        <v>28502</v>
      </c>
    </row>
    <row r="2000" spans="1:4">
      <c r="A2000" t="s">
        <v>5</v>
      </c>
      <c r="B2000" t="s">
        <v>117</v>
      </c>
      <c r="C2000" s="8">
        <v>46192</v>
      </c>
      <c r="D2000" s="9">
        <v>40886</v>
      </c>
    </row>
    <row r="2001" spans="1:4">
      <c r="A2001" t="s">
        <v>5</v>
      </c>
      <c r="B2001" t="s">
        <v>197</v>
      </c>
      <c r="C2001" s="8">
        <v>46192</v>
      </c>
      <c r="D2001" s="9">
        <v>32161</v>
      </c>
    </row>
    <row r="2002" spans="1:4">
      <c r="A2002" t="s">
        <v>5</v>
      </c>
      <c r="B2002" t="s">
        <v>243</v>
      </c>
      <c r="C2002" s="8">
        <v>46192</v>
      </c>
      <c r="D2002" s="9">
        <v>31698</v>
      </c>
    </row>
    <row r="2003" spans="1:4">
      <c r="A2003" t="s">
        <v>5</v>
      </c>
      <c r="B2003" t="s">
        <v>168</v>
      </c>
      <c r="C2003" s="8">
        <v>46192</v>
      </c>
      <c r="D2003" s="9">
        <v>32508</v>
      </c>
    </row>
    <row r="2004" spans="1:4">
      <c r="A2004" t="s">
        <v>5</v>
      </c>
      <c r="B2004" t="s">
        <v>205</v>
      </c>
      <c r="C2004" s="8">
        <v>46192</v>
      </c>
      <c r="D2004" s="9">
        <v>39186</v>
      </c>
    </row>
    <row r="2005" spans="1:4">
      <c r="A2005" t="s">
        <v>25</v>
      </c>
      <c r="B2005" t="s">
        <v>66</v>
      </c>
      <c r="C2005" s="8">
        <v>46193</v>
      </c>
      <c r="D2005" s="9">
        <v>18771</v>
      </c>
    </row>
    <row r="2006" spans="1:4">
      <c r="A2006" t="s">
        <v>26</v>
      </c>
      <c r="B2006" t="s">
        <v>179</v>
      </c>
      <c r="C2006" s="8">
        <v>46193</v>
      </c>
      <c r="D2006" s="9">
        <v>18150</v>
      </c>
    </row>
    <row r="2007" spans="1:4">
      <c r="A2007" t="s">
        <v>29</v>
      </c>
      <c r="B2007" t="s">
        <v>274</v>
      </c>
      <c r="C2007" s="8">
        <v>46193</v>
      </c>
      <c r="D2007" s="9">
        <v>31257</v>
      </c>
    </row>
    <row r="2008" spans="1:4">
      <c r="A2008" t="s">
        <v>7</v>
      </c>
      <c r="B2008" t="s">
        <v>171</v>
      </c>
      <c r="C2008" s="8">
        <v>46193</v>
      </c>
      <c r="D2008" s="9">
        <v>24111</v>
      </c>
    </row>
    <row r="2009" spans="1:4">
      <c r="A2009" t="s">
        <v>7</v>
      </c>
      <c r="B2009" t="s">
        <v>267</v>
      </c>
      <c r="C2009" s="8">
        <v>46193</v>
      </c>
      <c r="D2009" s="9">
        <v>25686</v>
      </c>
    </row>
    <row r="2010" spans="1:4">
      <c r="A2010" t="s">
        <v>9</v>
      </c>
      <c r="B2010" t="s">
        <v>227</v>
      </c>
      <c r="C2010" s="8">
        <v>46193</v>
      </c>
      <c r="D2010" s="9">
        <v>32261</v>
      </c>
    </row>
    <row r="2011" spans="1:4">
      <c r="A2011" t="s">
        <v>9</v>
      </c>
      <c r="B2011" t="s">
        <v>137</v>
      </c>
      <c r="C2011" s="8">
        <v>46193</v>
      </c>
      <c r="D2011" s="9">
        <v>29209</v>
      </c>
    </row>
    <row r="2012" spans="1:4">
      <c r="A2012" t="s">
        <v>5</v>
      </c>
      <c r="B2012" t="s">
        <v>81</v>
      </c>
      <c r="C2012" s="8">
        <v>46193</v>
      </c>
      <c r="D2012" s="9">
        <v>43426</v>
      </c>
    </row>
    <row r="2013" spans="1:4">
      <c r="A2013" t="s">
        <v>5</v>
      </c>
      <c r="B2013" t="s">
        <v>95</v>
      </c>
      <c r="C2013" s="8">
        <v>46193</v>
      </c>
      <c r="D2013" s="9">
        <v>31070</v>
      </c>
    </row>
    <row r="2014" spans="1:4">
      <c r="A2014" t="s">
        <v>4</v>
      </c>
      <c r="B2014" t="s">
        <v>185</v>
      </c>
      <c r="C2014" s="8">
        <v>46194</v>
      </c>
      <c r="D2014" s="9">
        <v>25689</v>
      </c>
    </row>
    <row r="2015" spans="1:4">
      <c r="A2015" t="s">
        <v>26</v>
      </c>
      <c r="B2015" t="s">
        <v>67</v>
      </c>
      <c r="C2015" s="8">
        <v>46194</v>
      </c>
      <c r="D2015" s="9">
        <v>15418</v>
      </c>
    </row>
    <row r="2016" spans="1:4">
      <c r="A2016" t="s">
        <v>8</v>
      </c>
      <c r="B2016" t="s">
        <v>148</v>
      </c>
      <c r="C2016" s="8">
        <v>46194</v>
      </c>
      <c r="D2016" s="9">
        <v>18822</v>
      </c>
    </row>
    <row r="2017" spans="1:4">
      <c r="A2017" t="s">
        <v>6</v>
      </c>
      <c r="B2017" t="s">
        <v>73</v>
      </c>
      <c r="C2017" s="8">
        <v>46194</v>
      </c>
      <c r="D2017" s="9">
        <v>42339</v>
      </c>
    </row>
    <row r="2018" spans="1:4">
      <c r="A2018" t="s">
        <v>7</v>
      </c>
      <c r="B2018" t="s">
        <v>75</v>
      </c>
      <c r="C2018" s="8">
        <v>46194</v>
      </c>
      <c r="D2018" s="9">
        <v>27389</v>
      </c>
    </row>
    <row r="2019" spans="1:4">
      <c r="A2019" t="s">
        <v>7</v>
      </c>
      <c r="B2019" t="s">
        <v>282</v>
      </c>
      <c r="C2019" s="8">
        <v>46194</v>
      </c>
      <c r="D2019" s="9">
        <v>28951</v>
      </c>
    </row>
    <row r="2020" spans="1:4">
      <c r="A2020" t="s">
        <v>9</v>
      </c>
      <c r="B2020" t="s">
        <v>91</v>
      </c>
      <c r="C2020" s="8">
        <v>46194</v>
      </c>
      <c r="D2020" s="9">
        <v>40790</v>
      </c>
    </row>
    <row r="2021" spans="1:4">
      <c r="A2021" t="s">
        <v>9</v>
      </c>
      <c r="B2021" t="s">
        <v>277</v>
      </c>
      <c r="C2021" s="8">
        <v>46194</v>
      </c>
      <c r="D2021" s="9">
        <v>19886</v>
      </c>
    </row>
    <row r="2022" spans="1:4">
      <c r="A2022" t="s">
        <v>9</v>
      </c>
      <c r="B2022" t="s">
        <v>277</v>
      </c>
      <c r="C2022" s="8">
        <v>46194</v>
      </c>
      <c r="D2022" s="9">
        <v>31738</v>
      </c>
    </row>
    <row r="2023" spans="1:4">
      <c r="A2023" t="s">
        <v>5</v>
      </c>
      <c r="B2023" t="s">
        <v>115</v>
      </c>
      <c r="C2023" s="8">
        <v>46194</v>
      </c>
      <c r="D2023" s="9">
        <v>33025</v>
      </c>
    </row>
    <row r="2024" spans="1:4">
      <c r="A2024" t="s">
        <v>5</v>
      </c>
      <c r="B2024" t="s">
        <v>138</v>
      </c>
      <c r="C2024" s="8">
        <v>46194</v>
      </c>
      <c r="D2024" s="9">
        <v>27762</v>
      </c>
    </row>
    <row r="2025" spans="1:4">
      <c r="A2025" t="s">
        <v>5</v>
      </c>
      <c r="B2025" t="s">
        <v>103</v>
      </c>
      <c r="C2025" s="8">
        <v>46194</v>
      </c>
      <c r="D2025" s="9">
        <v>36757</v>
      </c>
    </row>
    <row r="2026" spans="1:4">
      <c r="A2026" t="s">
        <v>5</v>
      </c>
      <c r="B2026" t="s">
        <v>183</v>
      </c>
      <c r="C2026" s="8">
        <v>46194</v>
      </c>
      <c r="D2026" s="9">
        <v>46183</v>
      </c>
    </row>
    <row r="2027" spans="1:4">
      <c r="A2027" t="s">
        <v>5</v>
      </c>
      <c r="B2027" t="s">
        <v>183</v>
      </c>
      <c r="C2027" s="8">
        <v>46194</v>
      </c>
      <c r="D2027" s="9">
        <v>43771</v>
      </c>
    </row>
    <row r="2028" spans="1:4">
      <c r="A2028" t="s">
        <v>5</v>
      </c>
      <c r="B2028" t="s">
        <v>105</v>
      </c>
      <c r="C2028" s="8">
        <v>46194</v>
      </c>
      <c r="D2028" s="9">
        <v>40297</v>
      </c>
    </row>
    <row r="2029" spans="1:4">
      <c r="A2029" t="s">
        <v>4</v>
      </c>
      <c r="B2029" t="s">
        <v>238</v>
      </c>
      <c r="C2029" s="8">
        <v>46195</v>
      </c>
      <c r="D2029" s="9">
        <v>33048</v>
      </c>
    </row>
    <row r="2030" spans="1:4">
      <c r="A2030" t="s">
        <v>4</v>
      </c>
      <c r="B2030" t="s">
        <v>198</v>
      </c>
      <c r="C2030" s="8">
        <v>46195</v>
      </c>
      <c r="D2030" s="9">
        <v>37945</v>
      </c>
    </row>
    <row r="2031" spans="1:4">
      <c r="A2031" t="s">
        <v>31</v>
      </c>
      <c r="B2031" t="s">
        <v>272</v>
      </c>
      <c r="C2031" s="8">
        <v>46195</v>
      </c>
      <c r="D2031" s="9">
        <v>5289</v>
      </c>
    </row>
    <row r="2032" spans="1:4">
      <c r="A2032" t="s">
        <v>28</v>
      </c>
      <c r="B2032" t="s">
        <v>121</v>
      </c>
      <c r="C2032" s="8">
        <v>46195</v>
      </c>
      <c r="D2032" s="9">
        <v>25808</v>
      </c>
    </row>
    <row r="2033" spans="1:4">
      <c r="A2033" t="s">
        <v>30</v>
      </c>
      <c r="B2033" t="s">
        <v>56</v>
      </c>
      <c r="C2033" s="8">
        <v>46195</v>
      </c>
      <c r="D2033" s="9">
        <v>16351</v>
      </c>
    </row>
    <row r="2034" spans="1:4">
      <c r="A2034" t="s">
        <v>6</v>
      </c>
      <c r="B2034" t="s">
        <v>74</v>
      </c>
      <c r="C2034" s="8">
        <v>46195</v>
      </c>
      <c r="D2034" s="9">
        <v>45508</v>
      </c>
    </row>
    <row r="2035" spans="1:4">
      <c r="A2035" t="s">
        <v>9</v>
      </c>
      <c r="B2035" t="s">
        <v>102</v>
      </c>
      <c r="C2035" s="8">
        <v>46195</v>
      </c>
      <c r="D2035" s="9">
        <v>55229</v>
      </c>
    </row>
    <row r="2036" spans="1:4">
      <c r="A2036" t="s">
        <v>9</v>
      </c>
      <c r="B2036" t="s">
        <v>195</v>
      </c>
      <c r="C2036" s="8">
        <v>46195</v>
      </c>
      <c r="D2036" s="9">
        <v>38244</v>
      </c>
    </row>
    <row r="2037" spans="1:4">
      <c r="A2037" t="s">
        <v>9</v>
      </c>
      <c r="B2037" t="s">
        <v>57</v>
      </c>
      <c r="C2037" s="8">
        <v>46195</v>
      </c>
      <c r="D2037" s="9">
        <v>28284</v>
      </c>
    </row>
    <row r="2038" spans="1:4">
      <c r="A2038" t="s">
        <v>5</v>
      </c>
      <c r="B2038" t="s">
        <v>115</v>
      </c>
      <c r="C2038" s="8">
        <v>46195</v>
      </c>
      <c r="D2038" s="9">
        <v>34257</v>
      </c>
    </row>
    <row r="2039" spans="1:4">
      <c r="A2039" t="s">
        <v>5</v>
      </c>
      <c r="B2039" t="s">
        <v>96</v>
      </c>
      <c r="C2039" s="8">
        <v>46195</v>
      </c>
      <c r="D2039" s="9">
        <v>49770</v>
      </c>
    </row>
    <row r="2040" spans="1:4">
      <c r="A2040" t="s">
        <v>5</v>
      </c>
      <c r="B2040" t="s">
        <v>117</v>
      </c>
      <c r="C2040" s="8">
        <v>46195</v>
      </c>
      <c r="D2040" s="9">
        <v>39660</v>
      </c>
    </row>
    <row r="2041" spans="1:4">
      <c r="A2041" t="s">
        <v>5</v>
      </c>
      <c r="B2041" t="s">
        <v>95</v>
      </c>
      <c r="C2041" s="8">
        <v>46195</v>
      </c>
      <c r="D2041" s="9">
        <v>33269</v>
      </c>
    </row>
    <row r="2042" spans="1:4">
      <c r="A2042" t="s">
        <v>5</v>
      </c>
      <c r="B2042" t="s">
        <v>53</v>
      </c>
      <c r="C2042" s="8">
        <v>46195</v>
      </c>
      <c r="D2042" s="9">
        <v>29330</v>
      </c>
    </row>
    <row r="2043" spans="1:4">
      <c r="A2043" t="s">
        <v>7</v>
      </c>
      <c r="B2043" t="s">
        <v>70</v>
      </c>
      <c r="C2043" s="8">
        <v>46196</v>
      </c>
      <c r="D2043" s="9">
        <v>30407</v>
      </c>
    </row>
    <row r="2044" spans="1:4">
      <c r="A2044" t="s">
        <v>37</v>
      </c>
      <c r="B2044" t="s">
        <v>248</v>
      </c>
      <c r="C2044" s="8">
        <v>46196</v>
      </c>
      <c r="D2044" s="9">
        <v>13201</v>
      </c>
    </row>
    <row r="2045" spans="1:4">
      <c r="A2045" t="s">
        <v>5</v>
      </c>
      <c r="B2045" t="s">
        <v>115</v>
      </c>
      <c r="C2045" s="8">
        <v>46196</v>
      </c>
      <c r="D2045" s="9">
        <v>35781</v>
      </c>
    </row>
    <row r="2046" spans="1:4">
      <c r="A2046" t="s">
        <v>5</v>
      </c>
      <c r="B2046" t="s">
        <v>191</v>
      </c>
      <c r="C2046" s="8">
        <v>46196</v>
      </c>
      <c r="D2046" s="9">
        <v>34292</v>
      </c>
    </row>
    <row r="2047" spans="1:4">
      <c r="A2047" t="s">
        <v>5</v>
      </c>
      <c r="B2047" t="s">
        <v>146</v>
      </c>
      <c r="C2047" s="8">
        <v>46196</v>
      </c>
      <c r="D2047" s="9">
        <v>59066</v>
      </c>
    </row>
    <row r="2048" spans="1:4">
      <c r="A2048" t="s">
        <v>4</v>
      </c>
      <c r="B2048" t="s">
        <v>189</v>
      </c>
      <c r="C2048" s="8">
        <v>46197</v>
      </c>
      <c r="D2048" s="9">
        <v>11759</v>
      </c>
    </row>
    <row r="2049" spans="1:4">
      <c r="A2049" t="s">
        <v>4</v>
      </c>
      <c r="B2049" t="s">
        <v>181</v>
      </c>
      <c r="C2049" s="8">
        <v>46197</v>
      </c>
      <c r="D2049" s="9">
        <v>42890</v>
      </c>
    </row>
    <row r="2050" spans="1:4">
      <c r="A2050" t="s">
        <v>25</v>
      </c>
      <c r="B2050" t="s">
        <v>120</v>
      </c>
      <c r="C2050" s="8">
        <v>46197</v>
      </c>
      <c r="D2050" s="9">
        <v>12881</v>
      </c>
    </row>
    <row r="2051" spans="1:4">
      <c r="A2051" t="s">
        <v>29</v>
      </c>
      <c r="B2051" t="s">
        <v>64</v>
      </c>
      <c r="C2051" s="8">
        <v>46197</v>
      </c>
      <c r="D2051" s="9">
        <v>16674</v>
      </c>
    </row>
    <row r="2052" spans="1:4">
      <c r="A2052" t="s">
        <v>7</v>
      </c>
      <c r="B2052" t="s">
        <v>263</v>
      </c>
      <c r="C2052" s="8">
        <v>46197</v>
      </c>
      <c r="D2052" s="9">
        <v>30022</v>
      </c>
    </row>
    <row r="2053" spans="1:4">
      <c r="A2053" t="s">
        <v>7</v>
      </c>
      <c r="B2053" t="s">
        <v>89</v>
      </c>
      <c r="C2053" s="8">
        <v>46197</v>
      </c>
      <c r="D2053" s="9">
        <v>27345</v>
      </c>
    </row>
    <row r="2054" spans="1:4">
      <c r="A2054" t="s">
        <v>9</v>
      </c>
      <c r="B2054" t="s">
        <v>264</v>
      </c>
      <c r="C2054" s="8">
        <v>46197</v>
      </c>
      <c r="D2054" s="9">
        <v>29665</v>
      </c>
    </row>
    <row r="2055" spans="1:4">
      <c r="A2055" t="s">
        <v>5</v>
      </c>
      <c r="B2055" t="s">
        <v>184</v>
      </c>
      <c r="C2055" s="8">
        <v>46197</v>
      </c>
      <c r="D2055" s="9">
        <v>55748</v>
      </c>
    </row>
    <row r="2056" spans="1:4">
      <c r="A2056" t="s">
        <v>5</v>
      </c>
      <c r="B2056" t="s">
        <v>93</v>
      </c>
      <c r="C2056" s="8">
        <v>46197</v>
      </c>
      <c r="D2056" s="9">
        <v>35390</v>
      </c>
    </row>
    <row r="2057" spans="1:4">
      <c r="A2057" t="s">
        <v>5</v>
      </c>
      <c r="B2057" t="s">
        <v>196</v>
      </c>
      <c r="C2057" s="8">
        <v>46197</v>
      </c>
      <c r="D2057" s="9">
        <v>52399</v>
      </c>
    </row>
    <row r="2058" spans="1:4">
      <c r="A2058" t="s">
        <v>5</v>
      </c>
      <c r="B2058" t="s">
        <v>60</v>
      </c>
      <c r="C2058" s="8">
        <v>46197</v>
      </c>
      <c r="D2058" s="9">
        <v>54854</v>
      </c>
    </row>
    <row r="2059" spans="1:4">
      <c r="A2059" t="s">
        <v>5</v>
      </c>
      <c r="B2059" t="s">
        <v>95</v>
      </c>
      <c r="C2059" s="8">
        <v>46197</v>
      </c>
      <c r="D2059" s="9">
        <v>37703</v>
      </c>
    </row>
    <row r="2060" spans="1:4">
      <c r="A2060" t="s">
        <v>5</v>
      </c>
      <c r="B2060" t="s">
        <v>146</v>
      </c>
      <c r="C2060" s="8">
        <v>46197</v>
      </c>
      <c r="D2060" s="9">
        <v>57480</v>
      </c>
    </row>
    <row r="2061" spans="1:4">
      <c r="A2061" t="s">
        <v>38</v>
      </c>
      <c r="B2061" t="s">
        <v>69</v>
      </c>
      <c r="C2061" s="8">
        <v>46198</v>
      </c>
      <c r="D2061" s="9">
        <v>14392</v>
      </c>
    </row>
    <row r="2062" spans="1:4">
      <c r="A2062" t="s">
        <v>4</v>
      </c>
      <c r="B2062" t="s">
        <v>201</v>
      </c>
      <c r="C2062" s="8">
        <v>46198</v>
      </c>
      <c r="D2062" s="9">
        <v>32381</v>
      </c>
    </row>
    <row r="2063" spans="1:4">
      <c r="A2063" t="s">
        <v>25</v>
      </c>
      <c r="B2063" t="s">
        <v>261</v>
      </c>
      <c r="C2063" s="8">
        <v>46198</v>
      </c>
      <c r="D2063" s="9">
        <v>17062</v>
      </c>
    </row>
    <row r="2064" spans="1:4">
      <c r="A2064" t="s">
        <v>28</v>
      </c>
      <c r="B2064" t="s">
        <v>71</v>
      </c>
      <c r="C2064" s="8">
        <v>46198</v>
      </c>
      <c r="D2064" s="9">
        <v>18202</v>
      </c>
    </row>
    <row r="2065" spans="1:4">
      <c r="A2065" t="s">
        <v>8</v>
      </c>
      <c r="B2065" t="s">
        <v>98</v>
      </c>
      <c r="C2065" s="8">
        <v>46198</v>
      </c>
      <c r="D2065" s="9">
        <v>6749</v>
      </c>
    </row>
    <row r="2066" spans="1:4">
      <c r="A2066" t="s">
        <v>6</v>
      </c>
      <c r="B2066" t="s">
        <v>176</v>
      </c>
      <c r="C2066" s="8">
        <v>46198</v>
      </c>
      <c r="D2066" s="9">
        <v>24013</v>
      </c>
    </row>
    <row r="2067" spans="1:4">
      <c r="A2067" t="s">
        <v>6</v>
      </c>
      <c r="B2067" t="s">
        <v>177</v>
      </c>
      <c r="C2067" s="8">
        <v>46198</v>
      </c>
      <c r="D2067" s="9">
        <v>28386</v>
      </c>
    </row>
    <row r="2068" spans="1:4">
      <c r="A2068" t="s">
        <v>9</v>
      </c>
      <c r="B2068" t="s">
        <v>269</v>
      </c>
      <c r="C2068" s="8">
        <v>46198</v>
      </c>
      <c r="D2068" s="9">
        <v>38589</v>
      </c>
    </row>
    <row r="2069" spans="1:4">
      <c r="A2069" t="s">
        <v>9</v>
      </c>
      <c r="B2069" t="s">
        <v>145</v>
      </c>
      <c r="C2069" s="8">
        <v>46198</v>
      </c>
      <c r="D2069" s="9">
        <v>34503</v>
      </c>
    </row>
    <row r="2070" spans="1:4">
      <c r="A2070" t="s">
        <v>5</v>
      </c>
      <c r="B2070" t="s">
        <v>96</v>
      </c>
      <c r="C2070" s="8">
        <v>46198</v>
      </c>
      <c r="D2070" s="9">
        <v>37991</v>
      </c>
    </row>
    <row r="2071" spans="1:4">
      <c r="A2071" t="s">
        <v>5</v>
      </c>
      <c r="B2071" t="s">
        <v>96</v>
      </c>
      <c r="C2071" s="8">
        <v>46198</v>
      </c>
      <c r="D2071" s="9">
        <v>46518</v>
      </c>
    </row>
    <row r="2072" spans="1:4">
      <c r="A2072" t="s">
        <v>5</v>
      </c>
      <c r="B2072" t="s">
        <v>124</v>
      </c>
      <c r="C2072" s="8">
        <v>46198</v>
      </c>
      <c r="D2072" s="9">
        <v>37429</v>
      </c>
    </row>
    <row r="2073" spans="1:4">
      <c r="A2073" t="s">
        <v>5</v>
      </c>
      <c r="B2073" t="s">
        <v>80</v>
      </c>
      <c r="C2073" s="8">
        <v>46198</v>
      </c>
      <c r="D2073" s="9">
        <v>51458</v>
      </c>
    </row>
    <row r="2074" spans="1:4">
      <c r="A2074" t="s">
        <v>5</v>
      </c>
      <c r="B2074" t="s">
        <v>167</v>
      </c>
      <c r="C2074" s="8">
        <v>46198</v>
      </c>
      <c r="D2074" s="9">
        <v>46087</v>
      </c>
    </row>
    <row r="2075" spans="1:4">
      <c r="A2075" t="s">
        <v>5</v>
      </c>
      <c r="B2075" t="s">
        <v>125</v>
      </c>
      <c r="C2075" s="8">
        <v>46198</v>
      </c>
      <c r="D2075" s="9">
        <v>48037</v>
      </c>
    </row>
    <row r="2076" spans="1:4">
      <c r="A2076" t="s">
        <v>27</v>
      </c>
      <c r="B2076" t="s">
        <v>265</v>
      </c>
      <c r="C2076" s="8">
        <v>46199</v>
      </c>
      <c r="D2076" s="9">
        <v>13401</v>
      </c>
    </row>
    <row r="2077" spans="1:4">
      <c r="A2077" t="s">
        <v>4</v>
      </c>
      <c r="B2077" t="s">
        <v>271</v>
      </c>
      <c r="C2077" s="8">
        <v>46199</v>
      </c>
      <c r="D2077" s="9">
        <v>33311</v>
      </c>
    </row>
    <row r="2078" spans="1:4">
      <c r="A2078" t="s">
        <v>4</v>
      </c>
      <c r="B2078" t="s">
        <v>147</v>
      </c>
      <c r="C2078" s="8">
        <v>46199</v>
      </c>
      <c r="D2078" s="9">
        <v>25906</v>
      </c>
    </row>
    <row r="2079" spans="1:4">
      <c r="A2079" t="s">
        <v>4</v>
      </c>
      <c r="B2079" t="s">
        <v>280</v>
      </c>
      <c r="C2079" s="8">
        <v>46199</v>
      </c>
      <c r="D2079" s="9">
        <v>41204</v>
      </c>
    </row>
    <row r="2080" spans="1:4">
      <c r="A2080" t="s">
        <v>25</v>
      </c>
      <c r="B2080" t="s">
        <v>239</v>
      </c>
      <c r="C2080" s="8">
        <v>46199</v>
      </c>
      <c r="D2080" s="9">
        <v>24975</v>
      </c>
    </row>
    <row r="2081" spans="1:4">
      <c r="A2081" t="s">
        <v>30</v>
      </c>
      <c r="B2081" t="s">
        <v>111</v>
      </c>
      <c r="C2081" s="8">
        <v>46199</v>
      </c>
      <c r="D2081" s="9">
        <v>5200</v>
      </c>
    </row>
    <row r="2082" spans="1:4">
      <c r="A2082" t="s">
        <v>8</v>
      </c>
      <c r="B2082" t="s">
        <v>143</v>
      </c>
      <c r="C2082" s="8">
        <v>46199</v>
      </c>
      <c r="D2082" s="9">
        <v>11189</v>
      </c>
    </row>
    <row r="2083" spans="1:4">
      <c r="A2083" t="s">
        <v>6</v>
      </c>
      <c r="B2083" t="s">
        <v>234</v>
      </c>
      <c r="C2083" s="8">
        <v>46199</v>
      </c>
      <c r="D2083" s="9">
        <v>22834</v>
      </c>
    </row>
    <row r="2084" spans="1:4">
      <c r="A2084" t="s">
        <v>7</v>
      </c>
      <c r="B2084" t="s">
        <v>204</v>
      </c>
      <c r="C2084" s="8">
        <v>46199</v>
      </c>
      <c r="D2084" s="9">
        <v>26164</v>
      </c>
    </row>
    <row r="2085" spans="1:4">
      <c r="A2085" t="s">
        <v>9</v>
      </c>
      <c r="B2085" t="s">
        <v>264</v>
      </c>
      <c r="C2085" s="8">
        <v>46199</v>
      </c>
      <c r="D2085" s="9">
        <v>37520</v>
      </c>
    </row>
    <row r="2086" spans="1:4">
      <c r="A2086" t="s">
        <v>9</v>
      </c>
      <c r="B2086" t="s">
        <v>136</v>
      </c>
      <c r="C2086" s="8">
        <v>46199</v>
      </c>
      <c r="D2086" s="9">
        <v>27741</v>
      </c>
    </row>
    <row r="2087" spans="1:4">
      <c r="A2087" t="s">
        <v>5</v>
      </c>
      <c r="B2087" t="s">
        <v>132</v>
      </c>
      <c r="C2087" s="8">
        <v>46199</v>
      </c>
      <c r="D2087" s="9">
        <v>34365</v>
      </c>
    </row>
    <row r="2088" spans="1:4">
      <c r="A2088" t="s">
        <v>5</v>
      </c>
      <c r="B2088" t="s">
        <v>182</v>
      </c>
      <c r="C2088" s="8">
        <v>46199</v>
      </c>
      <c r="D2088" s="9">
        <v>27837</v>
      </c>
    </row>
    <row r="2089" spans="1:4">
      <c r="A2089" t="s">
        <v>5</v>
      </c>
      <c r="B2089" t="s">
        <v>104</v>
      </c>
      <c r="C2089" s="8">
        <v>46199</v>
      </c>
      <c r="D2089" s="9">
        <v>48111</v>
      </c>
    </row>
    <row r="2090" spans="1:4">
      <c r="A2090" t="s">
        <v>5</v>
      </c>
      <c r="B2090" t="s">
        <v>104</v>
      </c>
      <c r="C2090" s="8">
        <v>46199</v>
      </c>
      <c r="D2090" s="9">
        <v>33909</v>
      </c>
    </row>
    <row r="2091" spans="1:4">
      <c r="A2091" t="s">
        <v>5</v>
      </c>
      <c r="B2091" t="s">
        <v>168</v>
      </c>
      <c r="C2091" s="8">
        <v>46199</v>
      </c>
      <c r="D2091" s="9">
        <v>43797</v>
      </c>
    </row>
    <row r="2092" spans="1:4">
      <c r="A2092" t="s">
        <v>27</v>
      </c>
      <c r="B2092" t="s">
        <v>160</v>
      </c>
      <c r="C2092" s="8">
        <v>46200</v>
      </c>
      <c r="D2092" s="9">
        <v>16815</v>
      </c>
    </row>
    <row r="2093" spans="1:4">
      <c r="A2093" t="s">
        <v>4</v>
      </c>
      <c r="B2093" t="s">
        <v>151</v>
      </c>
      <c r="C2093" s="8">
        <v>46200</v>
      </c>
      <c r="D2093" s="9">
        <v>33487</v>
      </c>
    </row>
    <row r="2094" spans="1:4">
      <c r="A2094" t="s">
        <v>4</v>
      </c>
      <c r="B2094" t="s">
        <v>147</v>
      </c>
      <c r="C2094" s="8">
        <v>46200</v>
      </c>
      <c r="D2094" s="9">
        <v>24277</v>
      </c>
    </row>
    <row r="2095" spans="1:4">
      <c r="A2095" t="s">
        <v>4</v>
      </c>
      <c r="B2095" t="s">
        <v>161</v>
      </c>
      <c r="C2095" s="8">
        <v>46200</v>
      </c>
      <c r="D2095" s="9">
        <v>30409</v>
      </c>
    </row>
    <row r="2096" spans="1:4">
      <c r="A2096" t="s">
        <v>31</v>
      </c>
      <c r="B2096" t="s">
        <v>207</v>
      </c>
      <c r="C2096" s="8">
        <v>46200</v>
      </c>
      <c r="D2096" s="9">
        <v>13006</v>
      </c>
    </row>
    <row r="2097" spans="1:4">
      <c r="A2097" t="s">
        <v>26</v>
      </c>
      <c r="B2097" t="s">
        <v>278</v>
      </c>
      <c r="C2097" s="8">
        <v>46200</v>
      </c>
      <c r="D2097" s="9">
        <v>32662</v>
      </c>
    </row>
    <row r="2098" spans="1:4">
      <c r="A2098" t="s">
        <v>29</v>
      </c>
      <c r="B2098" t="s">
        <v>165</v>
      </c>
      <c r="C2098" s="8">
        <v>46200</v>
      </c>
      <c r="D2098" s="9">
        <v>10463</v>
      </c>
    </row>
    <row r="2099" spans="1:4">
      <c r="A2099" t="s">
        <v>7</v>
      </c>
      <c r="B2099" t="s">
        <v>75</v>
      </c>
      <c r="C2099" s="8">
        <v>46200</v>
      </c>
      <c r="D2099" s="9">
        <v>21740</v>
      </c>
    </row>
    <row r="2100" spans="1:4">
      <c r="A2100" t="s">
        <v>9</v>
      </c>
      <c r="B2100" t="s">
        <v>50</v>
      </c>
      <c r="C2100" s="8">
        <v>46200</v>
      </c>
      <c r="D2100" s="9">
        <v>43224</v>
      </c>
    </row>
    <row r="2101" spans="1:4">
      <c r="A2101" t="s">
        <v>9</v>
      </c>
      <c r="B2101" t="s">
        <v>249</v>
      </c>
      <c r="C2101" s="8">
        <v>46200</v>
      </c>
      <c r="D2101" s="9">
        <v>34837</v>
      </c>
    </row>
    <row r="2102" spans="1:4">
      <c r="A2102" t="s">
        <v>9</v>
      </c>
      <c r="B2102" t="s">
        <v>187</v>
      </c>
      <c r="C2102" s="8">
        <v>46200</v>
      </c>
      <c r="D2102" s="9">
        <v>33726</v>
      </c>
    </row>
    <row r="2103" spans="1:4">
      <c r="A2103" t="s">
        <v>9</v>
      </c>
      <c r="B2103" t="s">
        <v>78</v>
      </c>
      <c r="C2103" s="8">
        <v>46200</v>
      </c>
      <c r="D2103" s="9">
        <v>41622</v>
      </c>
    </row>
    <row r="2104" spans="1:4">
      <c r="A2104" t="s">
        <v>5</v>
      </c>
      <c r="B2104" t="s">
        <v>221</v>
      </c>
      <c r="C2104" s="8">
        <v>46200</v>
      </c>
      <c r="D2104" s="9">
        <v>43495</v>
      </c>
    </row>
    <row r="2105" spans="1:4">
      <c r="A2105" t="s">
        <v>5</v>
      </c>
      <c r="B2105" t="s">
        <v>209</v>
      </c>
      <c r="C2105" s="8">
        <v>46200</v>
      </c>
      <c r="D2105" s="9">
        <v>38748</v>
      </c>
    </row>
    <row r="2106" spans="1:4">
      <c r="A2106" t="s">
        <v>5</v>
      </c>
      <c r="B2106" t="s">
        <v>60</v>
      </c>
      <c r="C2106" s="8">
        <v>46200</v>
      </c>
      <c r="D2106" s="9">
        <v>48981</v>
      </c>
    </row>
    <row r="2107" spans="1:4">
      <c r="A2107" t="s">
        <v>35</v>
      </c>
      <c r="B2107" t="s">
        <v>224</v>
      </c>
      <c r="C2107" s="8">
        <v>46201</v>
      </c>
      <c r="D2107" s="9">
        <v>15435</v>
      </c>
    </row>
    <row r="2108" spans="1:4">
      <c r="A2108" t="s">
        <v>26</v>
      </c>
      <c r="B2108" t="s">
        <v>252</v>
      </c>
      <c r="C2108" s="8">
        <v>46201</v>
      </c>
      <c r="D2108" s="9">
        <v>29464</v>
      </c>
    </row>
    <row r="2109" spans="1:4">
      <c r="A2109" t="s">
        <v>8</v>
      </c>
      <c r="B2109" t="s">
        <v>219</v>
      </c>
      <c r="C2109" s="8">
        <v>46201</v>
      </c>
      <c r="D2109" s="9">
        <v>12933</v>
      </c>
    </row>
    <row r="2110" spans="1:4">
      <c r="A2110" t="s">
        <v>8</v>
      </c>
      <c r="B2110" t="s">
        <v>163</v>
      </c>
      <c r="C2110" s="8">
        <v>46201</v>
      </c>
      <c r="D2110" s="9">
        <v>15221</v>
      </c>
    </row>
    <row r="2111" spans="1:4">
      <c r="A2111" t="s">
        <v>8</v>
      </c>
      <c r="B2111" t="s">
        <v>86</v>
      </c>
      <c r="C2111" s="8">
        <v>46201</v>
      </c>
      <c r="D2111" s="9">
        <v>23906</v>
      </c>
    </row>
    <row r="2112" spans="1:4">
      <c r="A2112" t="s">
        <v>6</v>
      </c>
      <c r="B2112" t="s">
        <v>216</v>
      </c>
      <c r="C2112" s="8">
        <v>46201</v>
      </c>
      <c r="D2112" s="9">
        <v>42294</v>
      </c>
    </row>
    <row r="2113" spans="1:4">
      <c r="A2113" t="s">
        <v>5</v>
      </c>
      <c r="B2113" t="s">
        <v>182</v>
      </c>
      <c r="C2113" s="8">
        <v>46201</v>
      </c>
      <c r="D2113" s="9">
        <v>38748</v>
      </c>
    </row>
    <row r="2114" spans="1:4">
      <c r="A2114" t="s">
        <v>5</v>
      </c>
      <c r="B2114" t="s">
        <v>196</v>
      </c>
      <c r="C2114" s="8">
        <v>46201</v>
      </c>
      <c r="D2114" s="9">
        <v>48705</v>
      </c>
    </row>
    <row r="2115" spans="1:4">
      <c r="A2115" t="s">
        <v>5</v>
      </c>
      <c r="B2115" t="s">
        <v>117</v>
      </c>
      <c r="C2115" s="8">
        <v>46201</v>
      </c>
      <c r="D2115" s="9">
        <v>38353</v>
      </c>
    </row>
    <row r="2116" spans="1:4">
      <c r="A2116" t="s">
        <v>5</v>
      </c>
      <c r="B2116" t="s">
        <v>125</v>
      </c>
      <c r="C2116" s="8">
        <v>46201</v>
      </c>
      <c r="D2116" s="9">
        <v>39098</v>
      </c>
    </row>
    <row r="2117" spans="1:4">
      <c r="A2117" t="s">
        <v>4</v>
      </c>
      <c r="B2117" t="s">
        <v>214</v>
      </c>
      <c r="C2117" s="8">
        <v>46202</v>
      </c>
      <c r="D2117" s="9">
        <v>49208</v>
      </c>
    </row>
    <row r="2118" spans="1:4">
      <c r="A2118" t="s">
        <v>28</v>
      </c>
      <c r="B2118" t="s">
        <v>222</v>
      </c>
      <c r="C2118" s="8">
        <v>46202</v>
      </c>
      <c r="D2118" s="9">
        <v>9714</v>
      </c>
    </row>
    <row r="2119" spans="1:4">
      <c r="A2119" t="s">
        <v>26</v>
      </c>
      <c r="B2119" t="s">
        <v>83</v>
      </c>
      <c r="C2119" s="8">
        <v>46202</v>
      </c>
      <c r="D2119" s="9">
        <v>18214</v>
      </c>
    </row>
    <row r="2120" spans="1:4">
      <c r="A2120" t="s">
        <v>30</v>
      </c>
      <c r="B2120" t="s">
        <v>255</v>
      </c>
      <c r="C2120" s="8">
        <v>46202</v>
      </c>
      <c r="D2120" s="9">
        <v>32465</v>
      </c>
    </row>
    <row r="2121" spans="1:4">
      <c r="A2121" t="s">
        <v>33</v>
      </c>
      <c r="B2121" t="s">
        <v>134</v>
      </c>
      <c r="C2121" s="8">
        <v>46202</v>
      </c>
      <c r="D2121" s="9">
        <v>14752</v>
      </c>
    </row>
    <row r="2122" spans="1:4">
      <c r="A2122" t="s">
        <v>9</v>
      </c>
      <c r="B2122" t="s">
        <v>92</v>
      </c>
      <c r="C2122" s="8">
        <v>46202</v>
      </c>
      <c r="D2122" s="9">
        <v>38564</v>
      </c>
    </row>
    <row r="2123" spans="1:4">
      <c r="A2123" t="s">
        <v>5</v>
      </c>
      <c r="B2123" t="s">
        <v>93</v>
      </c>
      <c r="C2123" s="8">
        <v>46202</v>
      </c>
      <c r="D2123" s="9">
        <v>40749</v>
      </c>
    </row>
    <row r="2124" spans="1:4">
      <c r="A2124" t="s">
        <v>5</v>
      </c>
      <c r="B2124" t="s">
        <v>62</v>
      </c>
      <c r="C2124" s="8">
        <v>46202</v>
      </c>
      <c r="D2124" s="9">
        <v>43523</v>
      </c>
    </row>
    <row r="2125" spans="1:4">
      <c r="A2125" t="s">
        <v>5</v>
      </c>
      <c r="B2125" t="s">
        <v>202</v>
      </c>
      <c r="C2125" s="8">
        <v>46202</v>
      </c>
      <c r="D2125" s="9">
        <v>27060</v>
      </c>
    </row>
    <row r="2126" spans="1:4">
      <c r="A2126" t="s">
        <v>5</v>
      </c>
      <c r="B2126" t="s">
        <v>139</v>
      </c>
      <c r="C2126" s="8">
        <v>46202</v>
      </c>
      <c r="D2126" s="9">
        <v>53843</v>
      </c>
    </row>
    <row r="2127" spans="1:4">
      <c r="A2127" t="s">
        <v>5</v>
      </c>
      <c r="B2127" t="s">
        <v>139</v>
      </c>
      <c r="C2127" s="8">
        <v>46202</v>
      </c>
      <c r="D2127" s="9">
        <v>43448</v>
      </c>
    </row>
    <row r="2128" spans="1:4">
      <c r="A2128" t="s">
        <v>5</v>
      </c>
      <c r="B2128" t="s">
        <v>183</v>
      </c>
      <c r="C2128" s="8">
        <v>46202</v>
      </c>
      <c r="D2128" s="9">
        <v>54969</v>
      </c>
    </row>
    <row r="2129" spans="1:4">
      <c r="A2129" t="s">
        <v>5</v>
      </c>
      <c r="B2129" t="s">
        <v>183</v>
      </c>
      <c r="C2129" s="8">
        <v>46202</v>
      </c>
      <c r="D2129" s="9">
        <v>42065</v>
      </c>
    </row>
    <row r="2130" spans="1:4">
      <c r="A2130" t="s">
        <v>5</v>
      </c>
      <c r="B2130" t="s">
        <v>118</v>
      </c>
      <c r="C2130" s="8">
        <v>46202</v>
      </c>
      <c r="D2130" s="9">
        <v>29634</v>
      </c>
    </row>
    <row r="2131" spans="1:4">
      <c r="A2131" t="s">
        <v>27</v>
      </c>
      <c r="B2131" t="s">
        <v>82</v>
      </c>
      <c r="C2131" s="8">
        <v>46203</v>
      </c>
      <c r="D2131" s="9">
        <v>19759</v>
      </c>
    </row>
    <row r="2132" spans="1:4">
      <c r="A2132" t="s">
        <v>27</v>
      </c>
      <c r="B2132" t="s">
        <v>211</v>
      </c>
      <c r="C2132" s="8">
        <v>46203</v>
      </c>
      <c r="D2132" s="9">
        <v>14115</v>
      </c>
    </row>
    <row r="2133" spans="1:4">
      <c r="A2133" t="s">
        <v>4</v>
      </c>
      <c r="B2133" t="s">
        <v>192</v>
      </c>
      <c r="C2133" s="8">
        <v>46203</v>
      </c>
      <c r="D2133" s="9">
        <v>29048</v>
      </c>
    </row>
    <row r="2134" spans="1:4">
      <c r="A2134" t="s">
        <v>4</v>
      </c>
      <c r="B2134" t="s">
        <v>279</v>
      </c>
      <c r="C2134" s="8">
        <v>46203</v>
      </c>
      <c r="D2134" s="9">
        <v>47076</v>
      </c>
    </row>
    <row r="2135" spans="1:4">
      <c r="A2135" t="s">
        <v>26</v>
      </c>
      <c r="B2135" t="s">
        <v>281</v>
      </c>
      <c r="C2135" s="8">
        <v>46203</v>
      </c>
      <c r="D2135" s="9">
        <v>12361</v>
      </c>
    </row>
    <row r="2136" spans="1:4">
      <c r="A2136" t="s">
        <v>26</v>
      </c>
      <c r="B2136" t="s">
        <v>232</v>
      </c>
      <c r="C2136" s="8">
        <v>46203</v>
      </c>
      <c r="D2136" s="9">
        <v>18214</v>
      </c>
    </row>
    <row r="2137" spans="1:4">
      <c r="A2137" t="s">
        <v>6</v>
      </c>
      <c r="B2137" t="s">
        <v>203</v>
      </c>
      <c r="C2137" s="8">
        <v>46203</v>
      </c>
      <c r="D2137" s="9">
        <v>23886</v>
      </c>
    </row>
    <row r="2138" spans="1:4">
      <c r="A2138" t="s">
        <v>7</v>
      </c>
      <c r="B2138" t="s">
        <v>113</v>
      </c>
      <c r="C2138" s="8">
        <v>46203</v>
      </c>
      <c r="D2138" s="9">
        <v>6270</v>
      </c>
    </row>
    <row r="2139" spans="1:4">
      <c r="A2139" t="s">
        <v>9</v>
      </c>
      <c r="B2139" t="s">
        <v>228</v>
      </c>
      <c r="C2139" s="8">
        <v>46203</v>
      </c>
      <c r="D2139" s="9">
        <v>30585</v>
      </c>
    </row>
    <row r="2140" spans="1:4">
      <c r="A2140" t="s">
        <v>9</v>
      </c>
      <c r="B2140" t="s">
        <v>172</v>
      </c>
      <c r="C2140" s="8">
        <v>46203</v>
      </c>
      <c r="D2140" s="9">
        <v>29054</v>
      </c>
    </row>
    <row r="2141" spans="1:4">
      <c r="A2141" t="s">
        <v>9</v>
      </c>
      <c r="B2141" t="s">
        <v>173</v>
      </c>
      <c r="C2141" s="8">
        <v>46203</v>
      </c>
      <c r="D2141" s="9">
        <v>13063</v>
      </c>
    </row>
    <row r="2142" spans="1:4">
      <c r="A2142" t="s">
        <v>9</v>
      </c>
      <c r="B2142" t="s">
        <v>150</v>
      </c>
      <c r="C2142" s="8">
        <v>46203</v>
      </c>
      <c r="D2142" s="9">
        <v>26672</v>
      </c>
    </row>
    <row r="2143" spans="1:4">
      <c r="A2143" t="s">
        <v>5</v>
      </c>
      <c r="B2143" t="s">
        <v>167</v>
      </c>
      <c r="C2143" s="8">
        <v>46203</v>
      </c>
      <c r="D2143" s="9">
        <v>40952</v>
      </c>
    </row>
    <row r="2144" spans="1:4">
      <c r="A2144" t="s">
        <v>5</v>
      </c>
      <c r="B2144" t="s">
        <v>205</v>
      </c>
      <c r="C2144" s="8">
        <v>46203</v>
      </c>
      <c r="D2144" s="9">
        <v>33876</v>
      </c>
    </row>
    <row r="2145" spans="1:4">
      <c r="A2145" t="s">
        <v>35</v>
      </c>
      <c r="B2145" t="s">
        <v>58</v>
      </c>
      <c r="C2145" s="8">
        <v>46204</v>
      </c>
      <c r="D2145" s="9">
        <v>14147</v>
      </c>
    </row>
    <row r="2146" spans="1:4">
      <c r="A2146" t="s">
        <v>38</v>
      </c>
      <c r="B2146" t="s">
        <v>69</v>
      </c>
      <c r="C2146" s="8">
        <v>46204</v>
      </c>
      <c r="D2146" s="9">
        <v>14396</v>
      </c>
    </row>
    <row r="2147" spans="1:4">
      <c r="A2147" t="s">
        <v>4</v>
      </c>
      <c r="B2147" t="s">
        <v>144</v>
      </c>
      <c r="C2147" s="8">
        <v>46204</v>
      </c>
      <c r="D2147" s="9">
        <v>30238</v>
      </c>
    </row>
    <row r="2148" spans="1:4">
      <c r="A2148" t="s">
        <v>4</v>
      </c>
      <c r="B2148" t="s">
        <v>280</v>
      </c>
      <c r="C2148" s="8">
        <v>46204</v>
      </c>
      <c r="D2148" s="9">
        <v>42373</v>
      </c>
    </row>
    <row r="2149" spans="1:4">
      <c r="A2149" t="s">
        <v>25</v>
      </c>
      <c r="B2149" t="s">
        <v>175</v>
      </c>
      <c r="C2149" s="8">
        <v>46204</v>
      </c>
      <c r="D2149" s="9">
        <v>19739</v>
      </c>
    </row>
    <row r="2150" spans="1:4">
      <c r="A2150" t="s">
        <v>25</v>
      </c>
      <c r="B2150" t="s">
        <v>108</v>
      </c>
      <c r="C2150" s="8">
        <v>46204</v>
      </c>
      <c r="D2150" s="9">
        <v>16404</v>
      </c>
    </row>
    <row r="2151" spans="1:4">
      <c r="A2151" t="s">
        <v>30</v>
      </c>
      <c r="B2151" t="s">
        <v>156</v>
      </c>
      <c r="C2151" s="8">
        <v>46204</v>
      </c>
      <c r="D2151" s="9">
        <v>13286</v>
      </c>
    </row>
    <row r="2152" spans="1:4">
      <c r="A2152" t="s">
        <v>30</v>
      </c>
      <c r="B2152" t="s">
        <v>157</v>
      </c>
      <c r="C2152" s="8">
        <v>46204</v>
      </c>
      <c r="D2152" s="9">
        <v>15832</v>
      </c>
    </row>
    <row r="2153" spans="1:4">
      <c r="A2153" t="s">
        <v>29</v>
      </c>
      <c r="B2153" t="s">
        <v>274</v>
      </c>
      <c r="C2153" s="8">
        <v>46204</v>
      </c>
      <c r="D2153" s="9">
        <v>5200</v>
      </c>
    </row>
    <row r="2154" spans="1:4">
      <c r="A2154" t="s">
        <v>9</v>
      </c>
      <c r="B2154" t="s">
        <v>264</v>
      </c>
      <c r="C2154" s="8">
        <v>46204</v>
      </c>
      <c r="D2154" s="9">
        <v>22929</v>
      </c>
    </row>
    <row r="2155" spans="1:4">
      <c r="A2155" t="s">
        <v>9</v>
      </c>
      <c r="B2155" t="s">
        <v>196</v>
      </c>
      <c r="C2155" s="8">
        <v>46204</v>
      </c>
      <c r="D2155" s="9">
        <v>46984</v>
      </c>
    </row>
    <row r="2156" spans="1:4">
      <c r="A2156" t="s">
        <v>9</v>
      </c>
      <c r="B2156" t="s">
        <v>51</v>
      </c>
      <c r="C2156" s="8">
        <v>46204</v>
      </c>
      <c r="D2156" s="9">
        <v>42500</v>
      </c>
    </row>
    <row r="2157" spans="1:4">
      <c r="A2157" t="s">
        <v>5</v>
      </c>
      <c r="B2157" t="s">
        <v>110</v>
      </c>
      <c r="C2157" s="8">
        <v>46204</v>
      </c>
      <c r="D2157" s="9">
        <v>35776</v>
      </c>
    </row>
    <row r="2158" spans="1:4">
      <c r="A2158" t="s">
        <v>5</v>
      </c>
      <c r="B2158" t="s">
        <v>181</v>
      </c>
      <c r="C2158" s="8">
        <v>46204</v>
      </c>
      <c r="D2158" s="9">
        <v>38926</v>
      </c>
    </row>
    <row r="2159" spans="1:4">
      <c r="A2159" t="s">
        <v>5</v>
      </c>
      <c r="B2159" t="s">
        <v>205</v>
      </c>
      <c r="C2159" s="8">
        <v>46204</v>
      </c>
      <c r="D2159" s="9">
        <v>49464</v>
      </c>
    </row>
    <row r="2160" spans="1:4">
      <c r="A2160" t="s">
        <v>4</v>
      </c>
      <c r="B2160" t="s">
        <v>147</v>
      </c>
      <c r="C2160" s="8">
        <v>46205</v>
      </c>
      <c r="D2160" s="9">
        <v>20812</v>
      </c>
    </row>
    <row r="2161" spans="1:4">
      <c r="A2161" t="s">
        <v>4</v>
      </c>
      <c r="B2161" t="s">
        <v>198</v>
      </c>
      <c r="C2161" s="8">
        <v>46205</v>
      </c>
      <c r="D2161" s="9">
        <v>27797</v>
      </c>
    </row>
    <row r="2162" spans="1:4">
      <c r="A2162" t="s">
        <v>8</v>
      </c>
      <c r="B2162" t="s">
        <v>266</v>
      </c>
      <c r="C2162" s="8">
        <v>46205</v>
      </c>
      <c r="D2162" s="9">
        <v>17839</v>
      </c>
    </row>
    <row r="2163" spans="1:4">
      <c r="A2163" t="s">
        <v>6</v>
      </c>
      <c r="B2163" t="s">
        <v>234</v>
      </c>
      <c r="C2163" s="8">
        <v>46205</v>
      </c>
      <c r="D2163" s="9">
        <v>21292</v>
      </c>
    </row>
    <row r="2164" spans="1:4">
      <c r="A2164" t="s">
        <v>6</v>
      </c>
      <c r="B2164" t="s">
        <v>120</v>
      </c>
      <c r="C2164" s="8">
        <v>46205</v>
      </c>
      <c r="D2164" s="9">
        <v>19165</v>
      </c>
    </row>
    <row r="2165" spans="1:4">
      <c r="A2165" t="s">
        <v>9</v>
      </c>
      <c r="B2165" t="s">
        <v>269</v>
      </c>
      <c r="C2165" s="8">
        <v>46205</v>
      </c>
      <c r="D2165" s="9">
        <v>24840</v>
      </c>
    </row>
    <row r="2166" spans="1:4">
      <c r="A2166" t="s">
        <v>9</v>
      </c>
      <c r="B2166" t="s">
        <v>137</v>
      </c>
      <c r="C2166" s="8">
        <v>46205</v>
      </c>
      <c r="D2166" s="9">
        <v>29964</v>
      </c>
    </row>
    <row r="2167" spans="1:4">
      <c r="A2167" t="s">
        <v>9</v>
      </c>
      <c r="B2167" t="s">
        <v>195</v>
      </c>
      <c r="C2167" s="8">
        <v>46205</v>
      </c>
      <c r="D2167" s="9">
        <v>44091</v>
      </c>
    </row>
    <row r="2168" spans="1:4">
      <c r="A2168" t="s">
        <v>5</v>
      </c>
      <c r="B2168" t="s">
        <v>103</v>
      </c>
      <c r="C2168" s="8">
        <v>46205</v>
      </c>
      <c r="D2168" s="9">
        <v>35189</v>
      </c>
    </row>
    <row r="2169" spans="1:4">
      <c r="A2169" t="s">
        <v>5</v>
      </c>
      <c r="B2169" t="s">
        <v>53</v>
      </c>
      <c r="C2169" s="8">
        <v>46205</v>
      </c>
      <c r="D2169" s="9">
        <v>50241</v>
      </c>
    </row>
    <row r="2170" spans="1:4">
      <c r="A2170" t="s">
        <v>5</v>
      </c>
      <c r="B2170" t="s">
        <v>125</v>
      </c>
      <c r="C2170" s="8">
        <v>46205</v>
      </c>
      <c r="D2170" s="9">
        <v>43902</v>
      </c>
    </row>
    <row r="2171" spans="1:4">
      <c r="A2171" t="s">
        <v>4</v>
      </c>
      <c r="B2171" t="s">
        <v>151</v>
      </c>
      <c r="C2171" s="8">
        <v>46206</v>
      </c>
      <c r="D2171" s="9">
        <v>34768</v>
      </c>
    </row>
    <row r="2172" spans="1:4">
      <c r="A2172" t="s">
        <v>4</v>
      </c>
      <c r="B2172" t="s">
        <v>185</v>
      </c>
      <c r="C2172" s="8">
        <v>46206</v>
      </c>
      <c r="D2172" s="9">
        <v>44091</v>
      </c>
    </row>
    <row r="2173" spans="1:4">
      <c r="A2173" t="s">
        <v>4</v>
      </c>
      <c r="B2173" t="s">
        <v>214</v>
      </c>
      <c r="C2173" s="8">
        <v>46206</v>
      </c>
      <c r="D2173" s="9">
        <v>46531</v>
      </c>
    </row>
    <row r="2174" spans="1:4">
      <c r="A2174" t="s">
        <v>31</v>
      </c>
      <c r="B2174" t="s">
        <v>107</v>
      </c>
      <c r="C2174" s="8">
        <v>46206</v>
      </c>
      <c r="D2174" s="9">
        <v>27803</v>
      </c>
    </row>
    <row r="2175" spans="1:4">
      <c r="A2175" t="s">
        <v>25</v>
      </c>
      <c r="B2175" t="s">
        <v>66</v>
      </c>
      <c r="C2175" s="8">
        <v>46206</v>
      </c>
      <c r="D2175" s="9">
        <v>18971</v>
      </c>
    </row>
    <row r="2176" spans="1:4">
      <c r="A2176" t="s">
        <v>7</v>
      </c>
      <c r="B2176" t="s">
        <v>236</v>
      </c>
      <c r="C2176" s="8">
        <v>46206</v>
      </c>
      <c r="D2176" s="9">
        <v>10152</v>
      </c>
    </row>
    <row r="2177" spans="1:4">
      <c r="A2177" t="s">
        <v>9</v>
      </c>
      <c r="B2177" t="s">
        <v>92</v>
      </c>
      <c r="C2177" s="8">
        <v>46206</v>
      </c>
      <c r="D2177" s="9">
        <v>42781</v>
      </c>
    </row>
    <row r="2178" spans="1:4">
      <c r="A2178" t="s">
        <v>5</v>
      </c>
      <c r="B2178" t="s">
        <v>115</v>
      </c>
      <c r="C2178" s="8">
        <v>46206</v>
      </c>
      <c r="D2178" s="9">
        <v>23060</v>
      </c>
    </row>
    <row r="2179" spans="1:4">
      <c r="A2179" t="s">
        <v>5</v>
      </c>
      <c r="B2179" t="s">
        <v>124</v>
      </c>
      <c r="C2179" s="8">
        <v>46206</v>
      </c>
      <c r="D2179" s="9">
        <v>44220</v>
      </c>
    </row>
    <row r="2180" spans="1:4">
      <c r="A2180" t="s">
        <v>5</v>
      </c>
      <c r="B2180" t="s">
        <v>62</v>
      </c>
      <c r="C2180" s="8">
        <v>46206</v>
      </c>
      <c r="D2180" s="9">
        <v>49670</v>
      </c>
    </row>
    <row r="2181" spans="1:4">
      <c r="A2181" t="s">
        <v>5</v>
      </c>
      <c r="B2181" t="s">
        <v>81</v>
      </c>
      <c r="C2181" s="8">
        <v>46206</v>
      </c>
      <c r="D2181" s="9">
        <v>44091</v>
      </c>
    </row>
    <row r="2182" spans="1:4">
      <c r="A2182" t="s">
        <v>5</v>
      </c>
      <c r="B2182" t="s">
        <v>105</v>
      </c>
      <c r="C2182" s="8">
        <v>46206</v>
      </c>
      <c r="D2182" s="9">
        <v>44427</v>
      </c>
    </row>
    <row r="2183" spans="1:4">
      <c r="A2183" t="s">
        <v>27</v>
      </c>
      <c r="B2183" t="s">
        <v>265</v>
      </c>
      <c r="C2183" s="8">
        <v>46207</v>
      </c>
      <c r="D2183" s="9">
        <v>17628</v>
      </c>
    </row>
    <row r="2184" spans="1:4">
      <c r="A2184" t="s">
        <v>4</v>
      </c>
      <c r="B2184" t="s">
        <v>105</v>
      </c>
      <c r="C2184" s="8">
        <v>46207</v>
      </c>
      <c r="D2184" s="9">
        <v>57277</v>
      </c>
    </row>
    <row r="2185" spans="1:4">
      <c r="A2185" t="s">
        <v>26</v>
      </c>
      <c r="B2185" t="s">
        <v>251</v>
      </c>
      <c r="C2185" s="8">
        <v>46207</v>
      </c>
      <c r="D2185" s="9">
        <v>21900</v>
      </c>
    </row>
    <row r="2186" spans="1:4">
      <c r="A2186" t="s">
        <v>8</v>
      </c>
      <c r="B2186" t="s">
        <v>163</v>
      </c>
      <c r="C2186" s="8">
        <v>46207</v>
      </c>
      <c r="D2186" s="9">
        <v>6743</v>
      </c>
    </row>
    <row r="2187" spans="1:4">
      <c r="A2187" t="s">
        <v>8</v>
      </c>
      <c r="B2187" t="s">
        <v>170</v>
      </c>
      <c r="C2187" s="8">
        <v>46207</v>
      </c>
      <c r="D2187" s="9">
        <v>21359</v>
      </c>
    </row>
    <row r="2188" spans="1:4">
      <c r="A2188" t="s">
        <v>9</v>
      </c>
      <c r="B2188" t="s">
        <v>88</v>
      </c>
      <c r="C2188" s="8">
        <v>46207</v>
      </c>
      <c r="D2188" s="9">
        <v>30473</v>
      </c>
    </row>
    <row r="2189" spans="1:4">
      <c r="A2189" t="s">
        <v>9</v>
      </c>
      <c r="B2189" t="s">
        <v>228</v>
      </c>
      <c r="C2189" s="8">
        <v>46207</v>
      </c>
      <c r="D2189" s="9">
        <v>44867</v>
      </c>
    </row>
    <row r="2190" spans="1:4">
      <c r="A2190" t="s">
        <v>9</v>
      </c>
      <c r="B2190" t="s">
        <v>228</v>
      </c>
      <c r="C2190" s="8">
        <v>46207</v>
      </c>
      <c r="D2190" s="9">
        <v>38245</v>
      </c>
    </row>
    <row r="2191" spans="1:4">
      <c r="A2191" t="s">
        <v>9</v>
      </c>
      <c r="B2191" t="s">
        <v>166</v>
      </c>
      <c r="C2191" s="8">
        <v>46207</v>
      </c>
      <c r="D2191" s="9">
        <v>29599</v>
      </c>
    </row>
    <row r="2192" spans="1:4">
      <c r="A2192" t="s">
        <v>5</v>
      </c>
      <c r="B2192" t="s">
        <v>96</v>
      </c>
      <c r="C2192" s="8">
        <v>46207</v>
      </c>
      <c r="D2192" s="9">
        <v>44041</v>
      </c>
    </row>
    <row r="2193" spans="1:4">
      <c r="A2193" t="s">
        <v>5</v>
      </c>
      <c r="B2193" t="s">
        <v>182</v>
      </c>
      <c r="C2193" s="8">
        <v>46207</v>
      </c>
      <c r="D2193" s="9">
        <v>37197</v>
      </c>
    </row>
    <row r="2194" spans="1:4">
      <c r="A2194" t="s">
        <v>5</v>
      </c>
      <c r="B2194" t="s">
        <v>94</v>
      </c>
      <c r="C2194" s="8">
        <v>46207</v>
      </c>
      <c r="D2194" s="9">
        <v>42634</v>
      </c>
    </row>
    <row r="2195" spans="1:4">
      <c r="A2195" t="s">
        <v>5</v>
      </c>
      <c r="B2195" t="s">
        <v>105</v>
      </c>
      <c r="C2195" s="8">
        <v>46207</v>
      </c>
      <c r="D2195" s="9">
        <v>54452</v>
      </c>
    </row>
    <row r="2196" spans="1:4">
      <c r="A2196" t="s">
        <v>27</v>
      </c>
      <c r="B2196" t="s">
        <v>259</v>
      </c>
      <c r="C2196" s="8">
        <v>46208</v>
      </c>
      <c r="D2196" s="9">
        <v>7045</v>
      </c>
    </row>
    <row r="2197" spans="1:4">
      <c r="A2197" t="s">
        <v>25</v>
      </c>
      <c r="B2197" t="s">
        <v>169</v>
      </c>
      <c r="C2197" s="8">
        <v>46208</v>
      </c>
      <c r="D2197" s="9">
        <v>14039</v>
      </c>
    </row>
    <row r="2198" spans="1:4">
      <c r="A2198" t="s">
        <v>26</v>
      </c>
      <c r="B2198" t="s">
        <v>67</v>
      </c>
      <c r="C2198" s="8">
        <v>46208</v>
      </c>
      <c r="D2198" s="9">
        <v>16582</v>
      </c>
    </row>
    <row r="2199" spans="1:4">
      <c r="A2199" t="s">
        <v>8</v>
      </c>
      <c r="B2199" t="s">
        <v>143</v>
      </c>
      <c r="C2199" s="8">
        <v>46208</v>
      </c>
      <c r="D2199" s="9">
        <v>12721</v>
      </c>
    </row>
    <row r="2200" spans="1:4">
      <c r="A2200" t="s">
        <v>32</v>
      </c>
      <c r="B2200" t="s">
        <v>233</v>
      </c>
      <c r="C2200" s="8">
        <v>46208</v>
      </c>
      <c r="D2200" s="9">
        <v>7449</v>
      </c>
    </row>
    <row r="2201" spans="1:4">
      <c r="A2201" t="s">
        <v>29</v>
      </c>
      <c r="B2201" t="s">
        <v>218</v>
      </c>
      <c r="C2201" s="8">
        <v>46208</v>
      </c>
      <c r="D2201" s="9">
        <v>14203</v>
      </c>
    </row>
    <row r="2202" spans="1:4">
      <c r="A2202" t="s">
        <v>7</v>
      </c>
      <c r="B2202" t="s">
        <v>123</v>
      </c>
      <c r="C2202" s="8">
        <v>46208</v>
      </c>
      <c r="D2202" s="9">
        <v>23816</v>
      </c>
    </row>
    <row r="2203" spans="1:4">
      <c r="A2203" t="s">
        <v>7</v>
      </c>
      <c r="B2203" t="s">
        <v>100</v>
      </c>
      <c r="C2203" s="8">
        <v>46208</v>
      </c>
      <c r="D2203" s="9">
        <v>27282</v>
      </c>
    </row>
    <row r="2204" spans="1:4">
      <c r="A2204" t="s">
        <v>9</v>
      </c>
      <c r="B2204" t="s">
        <v>228</v>
      </c>
      <c r="C2204" s="8">
        <v>46208</v>
      </c>
      <c r="D2204" s="9">
        <v>39425</v>
      </c>
    </row>
    <row r="2205" spans="1:4">
      <c r="A2205" t="s">
        <v>9</v>
      </c>
      <c r="B2205" t="s">
        <v>102</v>
      </c>
      <c r="C2205" s="8">
        <v>46208</v>
      </c>
      <c r="D2205" s="9">
        <v>37847</v>
      </c>
    </row>
    <row r="2206" spans="1:4">
      <c r="A2206" t="s">
        <v>5</v>
      </c>
      <c r="B2206" t="s">
        <v>182</v>
      </c>
      <c r="C2206" s="8">
        <v>46208</v>
      </c>
      <c r="D2206" s="9">
        <v>28886</v>
      </c>
    </row>
    <row r="2207" spans="1:4">
      <c r="A2207" t="s">
        <v>5</v>
      </c>
      <c r="B2207" t="s">
        <v>191</v>
      </c>
      <c r="C2207" s="8">
        <v>46208</v>
      </c>
      <c r="D2207" s="9">
        <v>34491</v>
      </c>
    </row>
    <row r="2208" spans="1:4">
      <c r="A2208" t="s">
        <v>4</v>
      </c>
      <c r="B2208" t="s">
        <v>110</v>
      </c>
      <c r="C2208" s="8">
        <v>46209</v>
      </c>
      <c r="D2208" s="9">
        <v>49598</v>
      </c>
    </row>
    <row r="2209" spans="1:4">
      <c r="A2209" t="s">
        <v>4</v>
      </c>
      <c r="B2209" t="s">
        <v>205</v>
      </c>
      <c r="C2209" s="8">
        <v>46209</v>
      </c>
      <c r="D2209" s="9">
        <v>42083</v>
      </c>
    </row>
    <row r="2210" spans="1:4">
      <c r="A2210" t="s">
        <v>7</v>
      </c>
      <c r="B2210" t="s">
        <v>47</v>
      </c>
      <c r="C2210" s="8">
        <v>46209</v>
      </c>
      <c r="D2210" s="9">
        <v>14226</v>
      </c>
    </row>
    <row r="2211" spans="1:4">
      <c r="A2211" t="s">
        <v>7</v>
      </c>
      <c r="B2211" t="s">
        <v>129</v>
      </c>
      <c r="C2211" s="8">
        <v>46209</v>
      </c>
      <c r="D2211" s="9">
        <v>30162</v>
      </c>
    </row>
    <row r="2212" spans="1:4">
      <c r="A2212" t="s">
        <v>7</v>
      </c>
      <c r="B2212" t="s">
        <v>257</v>
      </c>
      <c r="C2212" s="8">
        <v>46209</v>
      </c>
      <c r="D2212" s="9">
        <v>36767</v>
      </c>
    </row>
    <row r="2213" spans="1:4">
      <c r="A2213" t="s">
        <v>7</v>
      </c>
      <c r="B2213" t="s">
        <v>282</v>
      </c>
      <c r="C2213" s="8">
        <v>46209</v>
      </c>
      <c r="D2213" s="9">
        <v>40874</v>
      </c>
    </row>
    <row r="2214" spans="1:4">
      <c r="A2214" t="s">
        <v>9</v>
      </c>
      <c r="B2214" t="s">
        <v>91</v>
      </c>
      <c r="C2214" s="8">
        <v>46209</v>
      </c>
      <c r="D2214" s="9">
        <v>38001</v>
      </c>
    </row>
    <row r="2215" spans="1:4">
      <c r="A2215" t="s">
        <v>9</v>
      </c>
      <c r="B2215" t="s">
        <v>88</v>
      </c>
      <c r="C2215" s="8">
        <v>46209</v>
      </c>
      <c r="D2215" s="9">
        <v>39891</v>
      </c>
    </row>
    <row r="2216" spans="1:4">
      <c r="A2216" t="s">
        <v>9</v>
      </c>
      <c r="B2216" t="s">
        <v>138</v>
      </c>
      <c r="C2216" s="8">
        <v>46209</v>
      </c>
      <c r="D2216" s="9">
        <v>37071</v>
      </c>
    </row>
    <row r="2217" spans="1:4">
      <c r="A2217" t="s">
        <v>9</v>
      </c>
      <c r="B2217" t="s">
        <v>178</v>
      </c>
      <c r="C2217" s="8">
        <v>46209</v>
      </c>
      <c r="D2217" s="9">
        <v>35752</v>
      </c>
    </row>
    <row r="2218" spans="1:4">
      <c r="A2218" t="s">
        <v>5</v>
      </c>
      <c r="B2218" t="s">
        <v>138</v>
      </c>
      <c r="C2218" s="8">
        <v>46209</v>
      </c>
      <c r="D2218" s="9">
        <v>36398</v>
      </c>
    </row>
    <row r="2219" spans="1:4">
      <c r="A2219" t="s">
        <v>5</v>
      </c>
      <c r="B2219" t="s">
        <v>105</v>
      </c>
      <c r="C2219" s="8">
        <v>46209</v>
      </c>
      <c r="D2219" s="9">
        <v>41080</v>
      </c>
    </row>
    <row r="2220" spans="1:4">
      <c r="A2220" t="s">
        <v>4</v>
      </c>
      <c r="B2220" t="s">
        <v>231</v>
      </c>
      <c r="C2220" s="8">
        <v>46210</v>
      </c>
      <c r="D2220" s="9">
        <v>35160</v>
      </c>
    </row>
    <row r="2221" spans="1:4">
      <c r="A2221" t="s">
        <v>6</v>
      </c>
      <c r="B2221" t="s">
        <v>112</v>
      </c>
      <c r="C2221" s="8">
        <v>46210</v>
      </c>
      <c r="D2221" s="9">
        <v>20236</v>
      </c>
    </row>
    <row r="2222" spans="1:4">
      <c r="A2222" t="s">
        <v>7</v>
      </c>
      <c r="B2222" t="s">
        <v>75</v>
      </c>
      <c r="C2222" s="8">
        <v>46210</v>
      </c>
      <c r="D2222" s="9">
        <v>23268</v>
      </c>
    </row>
    <row r="2223" spans="1:4">
      <c r="A2223" t="s">
        <v>9</v>
      </c>
      <c r="B2223" t="s">
        <v>130</v>
      </c>
      <c r="C2223" s="8">
        <v>46210</v>
      </c>
      <c r="D2223" s="9">
        <v>39431</v>
      </c>
    </row>
    <row r="2224" spans="1:4">
      <c r="A2224" t="s">
        <v>9</v>
      </c>
      <c r="B2224" t="s">
        <v>187</v>
      </c>
      <c r="C2224" s="8">
        <v>46210</v>
      </c>
      <c r="D2224" s="9">
        <v>22761</v>
      </c>
    </row>
    <row r="2225" spans="1:4">
      <c r="A2225" t="s">
        <v>5</v>
      </c>
      <c r="B2225" t="s">
        <v>209</v>
      </c>
      <c r="C2225" s="8">
        <v>46210</v>
      </c>
      <c r="D2225" s="9">
        <v>44576</v>
      </c>
    </row>
    <row r="2226" spans="1:4">
      <c r="A2226" t="s">
        <v>5</v>
      </c>
      <c r="B2226" t="s">
        <v>138</v>
      </c>
      <c r="C2226" s="8">
        <v>46210</v>
      </c>
      <c r="D2226" s="9">
        <v>45099</v>
      </c>
    </row>
    <row r="2227" spans="1:4">
      <c r="A2227" t="s">
        <v>5</v>
      </c>
      <c r="B2227" t="s">
        <v>138</v>
      </c>
      <c r="C2227" s="8">
        <v>46210</v>
      </c>
      <c r="D2227" s="9">
        <v>41791</v>
      </c>
    </row>
    <row r="2228" spans="1:4">
      <c r="A2228" t="s">
        <v>5</v>
      </c>
      <c r="B2228" t="s">
        <v>104</v>
      </c>
      <c r="C2228" s="8">
        <v>46210</v>
      </c>
      <c r="D2228" s="9">
        <v>48772</v>
      </c>
    </row>
    <row r="2229" spans="1:4">
      <c r="A2229" t="s">
        <v>5</v>
      </c>
      <c r="B2229" t="s">
        <v>183</v>
      </c>
      <c r="C2229" s="8">
        <v>46210</v>
      </c>
      <c r="D2229" s="9">
        <v>22265</v>
      </c>
    </row>
    <row r="2230" spans="1:4">
      <c r="A2230" t="s">
        <v>5</v>
      </c>
      <c r="B2230" t="s">
        <v>141</v>
      </c>
      <c r="C2230" s="8">
        <v>46210</v>
      </c>
      <c r="D2230" s="9">
        <v>39558</v>
      </c>
    </row>
    <row r="2231" spans="1:4">
      <c r="A2231" t="s">
        <v>4</v>
      </c>
      <c r="B2231" t="s">
        <v>189</v>
      </c>
      <c r="C2231" s="8">
        <v>46211</v>
      </c>
      <c r="D2231" s="9">
        <v>26289</v>
      </c>
    </row>
    <row r="2232" spans="1:4">
      <c r="A2232" t="s">
        <v>7</v>
      </c>
      <c r="B2232" t="s">
        <v>75</v>
      </c>
      <c r="C2232" s="8">
        <v>46211</v>
      </c>
      <c r="D2232" s="9">
        <v>23146</v>
      </c>
    </row>
    <row r="2233" spans="1:4">
      <c r="A2233" t="s">
        <v>9</v>
      </c>
      <c r="B2233" t="s">
        <v>101</v>
      </c>
      <c r="C2233" s="8">
        <v>46211</v>
      </c>
      <c r="D2233" s="9">
        <v>25232</v>
      </c>
    </row>
    <row r="2234" spans="1:4">
      <c r="A2234" t="s">
        <v>9</v>
      </c>
      <c r="B2234" t="s">
        <v>129</v>
      </c>
      <c r="C2234" s="8">
        <v>46211</v>
      </c>
      <c r="D2234" s="9">
        <v>38792</v>
      </c>
    </row>
    <row r="2235" spans="1:4">
      <c r="A2235" t="s">
        <v>9</v>
      </c>
      <c r="B2235" t="s">
        <v>136</v>
      </c>
      <c r="C2235" s="8">
        <v>46211</v>
      </c>
      <c r="D2235" s="9">
        <v>27900</v>
      </c>
    </row>
    <row r="2236" spans="1:4">
      <c r="A2236" t="s">
        <v>9</v>
      </c>
      <c r="B2236" t="s">
        <v>173</v>
      </c>
      <c r="C2236" s="8">
        <v>46211</v>
      </c>
      <c r="D2236" s="9">
        <v>40726</v>
      </c>
    </row>
    <row r="2237" spans="1:4">
      <c r="A2237" t="s">
        <v>9</v>
      </c>
      <c r="B2237" t="s">
        <v>258</v>
      </c>
      <c r="C2237" s="8">
        <v>46211</v>
      </c>
      <c r="D2237" s="9">
        <v>59689</v>
      </c>
    </row>
    <row r="2238" spans="1:4">
      <c r="A2238" t="s">
        <v>5</v>
      </c>
      <c r="B2238" t="s">
        <v>181</v>
      </c>
      <c r="C2238" s="8">
        <v>46211</v>
      </c>
      <c r="D2238" s="9">
        <v>33152</v>
      </c>
    </row>
    <row r="2239" spans="1:4">
      <c r="A2239" t="s">
        <v>5</v>
      </c>
      <c r="B2239" t="s">
        <v>168</v>
      </c>
      <c r="C2239" s="8">
        <v>46211</v>
      </c>
      <c r="D2239" s="9">
        <v>31726</v>
      </c>
    </row>
    <row r="2240" spans="1:4">
      <c r="A2240" t="s">
        <v>5</v>
      </c>
      <c r="B2240" t="s">
        <v>125</v>
      </c>
      <c r="C2240" s="8">
        <v>46211</v>
      </c>
      <c r="D2240" s="9">
        <v>58474</v>
      </c>
    </row>
    <row r="2241" spans="1:4">
      <c r="A2241" t="s">
        <v>6</v>
      </c>
      <c r="B2241" t="s">
        <v>74</v>
      </c>
      <c r="C2241" s="8">
        <v>46212</v>
      </c>
      <c r="D2241" s="9">
        <v>41033</v>
      </c>
    </row>
    <row r="2242" spans="1:4">
      <c r="A2242" t="s">
        <v>6</v>
      </c>
      <c r="B2242" t="s">
        <v>177</v>
      </c>
      <c r="C2242" s="8">
        <v>46212</v>
      </c>
      <c r="D2242" s="9">
        <v>29370</v>
      </c>
    </row>
    <row r="2243" spans="1:4">
      <c r="A2243" t="s">
        <v>7</v>
      </c>
      <c r="B2243" t="s">
        <v>176</v>
      </c>
      <c r="C2243" s="8">
        <v>46212</v>
      </c>
      <c r="D2243" s="9">
        <v>25067</v>
      </c>
    </row>
    <row r="2244" spans="1:4">
      <c r="A2244" t="s">
        <v>9</v>
      </c>
      <c r="B2244" t="s">
        <v>221</v>
      </c>
      <c r="C2244" s="8">
        <v>46212</v>
      </c>
      <c r="D2244" s="9">
        <v>55282</v>
      </c>
    </row>
    <row r="2245" spans="1:4">
      <c r="A2245" t="s">
        <v>9</v>
      </c>
      <c r="B2245" t="s">
        <v>145</v>
      </c>
      <c r="C2245" s="8">
        <v>46212</v>
      </c>
      <c r="D2245" s="9">
        <v>39179</v>
      </c>
    </row>
    <row r="2246" spans="1:4">
      <c r="A2246" t="s">
        <v>9</v>
      </c>
      <c r="B2246" t="s">
        <v>150</v>
      </c>
      <c r="C2246" s="8">
        <v>46212</v>
      </c>
      <c r="D2246" s="9">
        <v>21396</v>
      </c>
    </row>
    <row r="2247" spans="1:4">
      <c r="A2247" t="s">
        <v>5</v>
      </c>
      <c r="B2247" t="s">
        <v>110</v>
      </c>
      <c r="C2247" s="8">
        <v>46212</v>
      </c>
      <c r="D2247" s="9">
        <v>44010</v>
      </c>
    </row>
    <row r="2248" spans="1:4">
      <c r="A2248" t="s">
        <v>5</v>
      </c>
      <c r="B2248" t="s">
        <v>242</v>
      </c>
      <c r="C2248" s="8">
        <v>46212</v>
      </c>
      <c r="D2248" s="9">
        <v>37288</v>
      </c>
    </row>
    <row r="2249" spans="1:4">
      <c r="A2249" t="s">
        <v>5</v>
      </c>
      <c r="B2249" t="s">
        <v>202</v>
      </c>
      <c r="C2249" s="8">
        <v>46212</v>
      </c>
      <c r="D2249" s="9">
        <v>37686</v>
      </c>
    </row>
    <row r="2250" spans="1:4">
      <c r="A2250" t="s">
        <v>5</v>
      </c>
      <c r="B2250" t="s">
        <v>191</v>
      </c>
      <c r="C2250" s="8">
        <v>46212</v>
      </c>
      <c r="D2250" s="9">
        <v>29384</v>
      </c>
    </row>
    <row r="2251" spans="1:4">
      <c r="A2251" t="s">
        <v>5</v>
      </c>
      <c r="B2251" t="s">
        <v>168</v>
      </c>
      <c r="C2251" s="8">
        <v>46212</v>
      </c>
      <c r="D2251" s="9">
        <v>47248</v>
      </c>
    </row>
    <row r="2252" spans="1:4">
      <c r="A2252" t="s">
        <v>5</v>
      </c>
      <c r="B2252" t="s">
        <v>188</v>
      </c>
      <c r="C2252" s="8">
        <v>46212</v>
      </c>
      <c r="D2252" s="9">
        <v>56724</v>
      </c>
    </row>
    <row r="2253" spans="1:4">
      <c r="A2253" t="s">
        <v>5</v>
      </c>
      <c r="B2253" t="s">
        <v>141</v>
      </c>
      <c r="C2253" s="8">
        <v>46212</v>
      </c>
      <c r="D2253" s="9">
        <v>40512</v>
      </c>
    </row>
    <row r="2254" spans="1:4">
      <c r="A2254" t="s">
        <v>25</v>
      </c>
      <c r="B2254" t="s">
        <v>126</v>
      </c>
      <c r="C2254" s="8">
        <v>46213</v>
      </c>
      <c r="D2254" s="9">
        <v>17041</v>
      </c>
    </row>
    <row r="2255" spans="1:4">
      <c r="A2255" t="s">
        <v>26</v>
      </c>
      <c r="B2255" t="s">
        <v>232</v>
      </c>
      <c r="C2255" s="8">
        <v>46213</v>
      </c>
      <c r="D2255" s="9">
        <v>17576</v>
      </c>
    </row>
    <row r="2256" spans="1:4">
      <c r="A2256" t="s">
        <v>30</v>
      </c>
      <c r="B2256" t="s">
        <v>111</v>
      </c>
      <c r="C2256" s="8">
        <v>46213</v>
      </c>
      <c r="D2256" s="9">
        <v>5200</v>
      </c>
    </row>
    <row r="2257" spans="1:4">
      <c r="A2257" t="s">
        <v>30</v>
      </c>
      <c r="B2257" t="s">
        <v>255</v>
      </c>
      <c r="C2257" s="8">
        <v>46213</v>
      </c>
      <c r="D2257" s="9">
        <v>5200</v>
      </c>
    </row>
    <row r="2258" spans="1:4">
      <c r="A2258" t="s">
        <v>8</v>
      </c>
      <c r="B2258" t="s">
        <v>256</v>
      </c>
      <c r="C2258" s="8">
        <v>46213</v>
      </c>
      <c r="D2258" s="9">
        <v>18268</v>
      </c>
    </row>
    <row r="2259" spans="1:4">
      <c r="A2259" t="s">
        <v>8</v>
      </c>
      <c r="B2259" t="s">
        <v>52</v>
      </c>
      <c r="C2259" s="8">
        <v>46213</v>
      </c>
      <c r="D2259" s="9">
        <v>22647</v>
      </c>
    </row>
    <row r="2260" spans="1:4">
      <c r="A2260" t="s">
        <v>33</v>
      </c>
      <c r="B2260" t="s">
        <v>253</v>
      </c>
      <c r="C2260" s="8">
        <v>46213</v>
      </c>
      <c r="D2260" s="9">
        <v>13933</v>
      </c>
    </row>
    <row r="2261" spans="1:4">
      <c r="A2261" t="s">
        <v>7</v>
      </c>
      <c r="B2261" t="s">
        <v>114</v>
      </c>
      <c r="C2261" s="8">
        <v>46213</v>
      </c>
      <c r="D2261" s="9">
        <v>43274</v>
      </c>
    </row>
    <row r="2262" spans="1:4">
      <c r="A2262" t="s">
        <v>9</v>
      </c>
      <c r="B2262" t="s">
        <v>91</v>
      </c>
      <c r="C2262" s="8">
        <v>46213</v>
      </c>
      <c r="D2262" s="9">
        <v>36302</v>
      </c>
    </row>
    <row r="2263" spans="1:4">
      <c r="A2263" t="s">
        <v>9</v>
      </c>
      <c r="B2263" t="s">
        <v>136</v>
      </c>
      <c r="C2263" s="8">
        <v>46213</v>
      </c>
      <c r="D2263" s="9">
        <v>29009</v>
      </c>
    </row>
    <row r="2264" spans="1:4">
      <c r="A2264" t="s">
        <v>5</v>
      </c>
      <c r="B2264" t="s">
        <v>221</v>
      </c>
      <c r="C2264" s="8">
        <v>46213</v>
      </c>
      <c r="D2264" s="9">
        <v>40527</v>
      </c>
    </row>
    <row r="2265" spans="1:4">
      <c r="A2265" t="s">
        <v>5</v>
      </c>
      <c r="B2265" t="s">
        <v>158</v>
      </c>
      <c r="C2265" s="8">
        <v>46213</v>
      </c>
      <c r="D2265" s="9">
        <v>34423</v>
      </c>
    </row>
    <row r="2266" spans="1:4">
      <c r="A2266" t="s">
        <v>5</v>
      </c>
      <c r="B2266" t="s">
        <v>196</v>
      </c>
      <c r="C2266" s="8">
        <v>46213</v>
      </c>
      <c r="D2266" s="9">
        <v>54785</v>
      </c>
    </row>
    <row r="2267" spans="1:4">
      <c r="A2267" t="s">
        <v>5</v>
      </c>
      <c r="B2267" t="s">
        <v>117</v>
      </c>
      <c r="C2267" s="8">
        <v>46213</v>
      </c>
      <c r="D2267" s="9">
        <v>34094</v>
      </c>
    </row>
    <row r="2268" spans="1:4">
      <c r="A2268" t="s">
        <v>5</v>
      </c>
      <c r="B2268" t="s">
        <v>190</v>
      </c>
      <c r="C2268" s="8">
        <v>46213</v>
      </c>
      <c r="D2268" s="9">
        <v>25259</v>
      </c>
    </row>
    <row r="2269" spans="1:4">
      <c r="A2269" t="s">
        <v>28</v>
      </c>
      <c r="B2269" t="s">
        <v>240</v>
      </c>
      <c r="C2269" s="8">
        <v>46214</v>
      </c>
      <c r="D2269" s="9">
        <v>15397</v>
      </c>
    </row>
    <row r="2270" spans="1:4">
      <c r="A2270" t="s">
        <v>28</v>
      </c>
      <c r="B2270" t="s">
        <v>154</v>
      </c>
      <c r="C2270" s="8">
        <v>46214</v>
      </c>
      <c r="D2270" s="9">
        <v>15285</v>
      </c>
    </row>
    <row r="2271" spans="1:4">
      <c r="A2271" t="s">
        <v>30</v>
      </c>
      <c r="B2271" t="s">
        <v>55</v>
      </c>
      <c r="C2271" s="8">
        <v>46214</v>
      </c>
      <c r="D2271" s="9">
        <v>15487</v>
      </c>
    </row>
    <row r="2272" spans="1:4">
      <c r="A2272" t="s">
        <v>8</v>
      </c>
      <c r="B2272" t="s">
        <v>246</v>
      </c>
      <c r="C2272" s="8">
        <v>46214</v>
      </c>
      <c r="D2272" s="9">
        <v>23719</v>
      </c>
    </row>
    <row r="2273" spans="1:4">
      <c r="A2273" t="s">
        <v>8</v>
      </c>
      <c r="B2273" t="s">
        <v>49</v>
      </c>
      <c r="C2273" s="8">
        <v>46214</v>
      </c>
      <c r="D2273" s="9">
        <v>24696</v>
      </c>
    </row>
    <row r="2274" spans="1:4">
      <c r="A2274" t="s">
        <v>6</v>
      </c>
      <c r="B2274" t="s">
        <v>200</v>
      </c>
      <c r="C2274" s="8">
        <v>46214</v>
      </c>
      <c r="D2274" s="9">
        <v>37989</v>
      </c>
    </row>
    <row r="2275" spans="1:4">
      <c r="A2275" t="s">
        <v>7</v>
      </c>
      <c r="B2275" t="s">
        <v>204</v>
      </c>
      <c r="C2275" s="8">
        <v>46214</v>
      </c>
      <c r="D2275" s="9">
        <v>25695</v>
      </c>
    </row>
    <row r="2276" spans="1:4">
      <c r="A2276" t="s">
        <v>7</v>
      </c>
      <c r="B2276" t="s">
        <v>135</v>
      </c>
      <c r="C2276" s="8">
        <v>46214</v>
      </c>
      <c r="D2276" s="9">
        <v>38470</v>
      </c>
    </row>
    <row r="2277" spans="1:4">
      <c r="A2277" t="s">
        <v>9</v>
      </c>
      <c r="B2277" t="s">
        <v>92</v>
      </c>
      <c r="C2277" s="8">
        <v>46214</v>
      </c>
      <c r="D2277" s="9">
        <v>33263</v>
      </c>
    </row>
    <row r="2278" spans="1:4">
      <c r="A2278" t="s">
        <v>5</v>
      </c>
      <c r="B2278" t="s">
        <v>184</v>
      </c>
      <c r="C2278" s="8">
        <v>46214</v>
      </c>
      <c r="D2278" s="9">
        <v>49669</v>
      </c>
    </row>
    <row r="2279" spans="1:4">
      <c r="A2279" t="s">
        <v>5</v>
      </c>
      <c r="B2279" t="s">
        <v>93</v>
      </c>
      <c r="C2279" s="8">
        <v>46214</v>
      </c>
      <c r="D2279" s="9">
        <v>50926</v>
      </c>
    </row>
    <row r="2280" spans="1:4">
      <c r="A2280" t="s">
        <v>5</v>
      </c>
      <c r="B2280" t="s">
        <v>138</v>
      </c>
      <c r="C2280" s="8">
        <v>46214</v>
      </c>
      <c r="D2280" s="9">
        <v>34574</v>
      </c>
    </row>
    <row r="2281" spans="1:4">
      <c r="A2281" t="s">
        <v>4</v>
      </c>
      <c r="B2281" t="s">
        <v>229</v>
      </c>
      <c r="C2281" s="8">
        <v>46215</v>
      </c>
      <c r="D2281" s="9">
        <v>26055</v>
      </c>
    </row>
    <row r="2282" spans="1:4">
      <c r="A2282" t="s">
        <v>31</v>
      </c>
      <c r="B2282" t="s">
        <v>272</v>
      </c>
      <c r="C2282" s="8">
        <v>46215</v>
      </c>
      <c r="D2282" s="9">
        <v>28910</v>
      </c>
    </row>
    <row r="2283" spans="1:4">
      <c r="A2283" t="s">
        <v>25</v>
      </c>
      <c r="B2283" t="s">
        <v>162</v>
      </c>
      <c r="C2283" s="8">
        <v>46215</v>
      </c>
      <c r="D2283" s="9">
        <v>20738</v>
      </c>
    </row>
    <row r="2284" spans="1:4">
      <c r="A2284" t="s">
        <v>28</v>
      </c>
      <c r="B2284" t="s">
        <v>121</v>
      </c>
      <c r="C2284" s="8">
        <v>46215</v>
      </c>
      <c r="D2284" s="9">
        <v>5200</v>
      </c>
    </row>
    <row r="2285" spans="1:4">
      <c r="A2285" t="s">
        <v>8</v>
      </c>
      <c r="B2285" t="s">
        <v>148</v>
      </c>
      <c r="C2285" s="8">
        <v>46215</v>
      </c>
      <c r="D2285" s="9">
        <v>19591</v>
      </c>
    </row>
    <row r="2286" spans="1:4">
      <c r="A2286" t="s">
        <v>34</v>
      </c>
      <c r="B2286" t="s">
        <v>225</v>
      </c>
      <c r="C2286" s="8">
        <v>46215</v>
      </c>
      <c r="D2286" s="9">
        <v>24294</v>
      </c>
    </row>
    <row r="2287" spans="1:4">
      <c r="A2287" t="s">
        <v>6</v>
      </c>
      <c r="B2287" t="s">
        <v>203</v>
      </c>
      <c r="C2287" s="8">
        <v>46215</v>
      </c>
      <c r="D2287" s="9">
        <v>24120</v>
      </c>
    </row>
    <row r="2288" spans="1:4">
      <c r="A2288" t="s">
        <v>33</v>
      </c>
      <c r="B2288" t="s">
        <v>134</v>
      </c>
      <c r="C2288" s="8">
        <v>46215</v>
      </c>
      <c r="D2288" s="9">
        <v>13792</v>
      </c>
    </row>
    <row r="2289" spans="1:4">
      <c r="A2289" t="s">
        <v>7</v>
      </c>
      <c r="B2289" t="s">
        <v>171</v>
      </c>
      <c r="C2289" s="8">
        <v>46215</v>
      </c>
      <c r="D2289" s="9">
        <v>30833</v>
      </c>
    </row>
    <row r="2290" spans="1:4">
      <c r="A2290" t="s">
        <v>9</v>
      </c>
      <c r="B2290" t="s">
        <v>178</v>
      </c>
      <c r="C2290" s="8">
        <v>46215</v>
      </c>
      <c r="D2290" s="9">
        <v>37811</v>
      </c>
    </row>
    <row r="2291" spans="1:4">
      <c r="A2291" t="s">
        <v>9</v>
      </c>
      <c r="B2291" t="s">
        <v>130</v>
      </c>
      <c r="C2291" s="8">
        <v>46215</v>
      </c>
      <c r="D2291" s="9">
        <v>54950</v>
      </c>
    </row>
    <row r="2292" spans="1:4">
      <c r="A2292" t="s">
        <v>9</v>
      </c>
      <c r="B2292" t="s">
        <v>78</v>
      </c>
      <c r="C2292" s="8">
        <v>46215</v>
      </c>
      <c r="D2292" s="9">
        <v>36823</v>
      </c>
    </row>
    <row r="2293" spans="1:4">
      <c r="A2293" t="s">
        <v>4</v>
      </c>
      <c r="B2293" t="s">
        <v>84</v>
      </c>
      <c r="C2293" s="8">
        <v>46216</v>
      </c>
      <c r="D2293" s="9">
        <v>36695</v>
      </c>
    </row>
    <row r="2294" spans="1:4">
      <c r="A2294" t="s">
        <v>4</v>
      </c>
      <c r="B2294" t="s">
        <v>190</v>
      </c>
      <c r="C2294" s="8">
        <v>46216</v>
      </c>
      <c r="D2294" s="9">
        <v>34230</v>
      </c>
    </row>
    <row r="2295" spans="1:4">
      <c r="A2295" t="s">
        <v>4</v>
      </c>
      <c r="B2295" t="s">
        <v>119</v>
      </c>
      <c r="C2295" s="8">
        <v>46216</v>
      </c>
      <c r="D2295" s="9">
        <v>41525</v>
      </c>
    </row>
    <row r="2296" spans="1:4">
      <c r="A2296" t="s">
        <v>32</v>
      </c>
      <c r="B2296" t="s">
        <v>224</v>
      </c>
      <c r="C2296" s="8">
        <v>46216</v>
      </c>
      <c r="D2296" s="9">
        <v>15014</v>
      </c>
    </row>
    <row r="2297" spans="1:4">
      <c r="A2297" t="s">
        <v>6</v>
      </c>
      <c r="B2297" t="s">
        <v>220</v>
      </c>
      <c r="C2297" s="8">
        <v>46216</v>
      </c>
      <c r="D2297" s="9">
        <v>24932</v>
      </c>
    </row>
    <row r="2298" spans="1:4">
      <c r="A2298" t="s">
        <v>7</v>
      </c>
      <c r="B2298" t="s">
        <v>267</v>
      </c>
      <c r="C2298" s="8">
        <v>46216</v>
      </c>
      <c r="D2298" s="9">
        <v>24987</v>
      </c>
    </row>
    <row r="2299" spans="1:4">
      <c r="A2299" t="s">
        <v>5</v>
      </c>
      <c r="B2299" t="s">
        <v>181</v>
      </c>
      <c r="C2299" s="8">
        <v>46216</v>
      </c>
      <c r="D2299" s="9">
        <v>33106</v>
      </c>
    </row>
    <row r="2300" spans="1:4">
      <c r="A2300" t="s">
        <v>5</v>
      </c>
      <c r="B2300" t="s">
        <v>132</v>
      </c>
      <c r="C2300" s="8">
        <v>46216</v>
      </c>
      <c r="D2300" s="9">
        <v>25998</v>
      </c>
    </row>
    <row r="2301" spans="1:4">
      <c r="A2301" t="s">
        <v>5</v>
      </c>
      <c r="B2301" t="s">
        <v>209</v>
      </c>
      <c r="C2301" s="8">
        <v>46216</v>
      </c>
      <c r="D2301" s="9">
        <v>56382</v>
      </c>
    </row>
    <row r="2302" spans="1:4">
      <c r="A2302" t="s">
        <v>5</v>
      </c>
      <c r="B2302" t="s">
        <v>94</v>
      </c>
      <c r="C2302" s="8">
        <v>46216</v>
      </c>
      <c r="D2302" s="9">
        <v>29992</v>
      </c>
    </row>
    <row r="2303" spans="1:4">
      <c r="A2303" t="s">
        <v>5</v>
      </c>
      <c r="B2303" t="s">
        <v>168</v>
      </c>
      <c r="C2303" s="8">
        <v>46216</v>
      </c>
      <c r="D2303" s="9">
        <v>44624</v>
      </c>
    </row>
    <row r="2304" spans="1:4">
      <c r="A2304" t="s">
        <v>36</v>
      </c>
      <c r="B2304" t="s">
        <v>155</v>
      </c>
      <c r="C2304" s="8">
        <v>46217</v>
      </c>
      <c r="D2304" s="9">
        <v>15390</v>
      </c>
    </row>
    <row r="2305" spans="1:4">
      <c r="A2305" t="s">
        <v>7</v>
      </c>
      <c r="B2305" t="s">
        <v>268</v>
      </c>
      <c r="C2305" s="8">
        <v>46217</v>
      </c>
      <c r="D2305" s="9">
        <v>26231</v>
      </c>
    </row>
    <row r="2306" spans="1:4">
      <c r="A2306" t="s">
        <v>9</v>
      </c>
      <c r="B2306" t="s">
        <v>144</v>
      </c>
      <c r="C2306" s="8">
        <v>46217</v>
      </c>
      <c r="D2306" s="9">
        <v>32059</v>
      </c>
    </row>
    <row r="2307" spans="1:4">
      <c r="A2307" t="s">
        <v>9</v>
      </c>
      <c r="B2307" t="s">
        <v>208</v>
      </c>
      <c r="C2307" s="8">
        <v>46217</v>
      </c>
      <c r="D2307" s="9">
        <v>36912</v>
      </c>
    </row>
    <row r="2308" spans="1:4">
      <c r="A2308" t="s">
        <v>9</v>
      </c>
      <c r="B2308" t="s">
        <v>65</v>
      </c>
      <c r="C2308" s="8">
        <v>46217</v>
      </c>
      <c r="D2308" s="9">
        <v>42822</v>
      </c>
    </row>
    <row r="2309" spans="1:4">
      <c r="A2309" t="s">
        <v>9</v>
      </c>
      <c r="B2309" t="s">
        <v>190</v>
      </c>
      <c r="C2309" s="8">
        <v>46217</v>
      </c>
      <c r="D2309" s="9">
        <v>35935</v>
      </c>
    </row>
    <row r="2310" spans="1:4">
      <c r="A2310" t="s">
        <v>9</v>
      </c>
      <c r="B2310" t="s">
        <v>51</v>
      </c>
      <c r="C2310" s="8">
        <v>46217</v>
      </c>
      <c r="D2310" s="9">
        <v>39030</v>
      </c>
    </row>
    <row r="2311" spans="1:4">
      <c r="A2311" t="s">
        <v>9</v>
      </c>
      <c r="B2311" t="s">
        <v>57</v>
      </c>
      <c r="C2311" s="8">
        <v>46217</v>
      </c>
      <c r="D2311" s="9">
        <v>27307</v>
      </c>
    </row>
    <row r="2312" spans="1:4">
      <c r="A2312" t="s">
        <v>5</v>
      </c>
      <c r="B2312" t="s">
        <v>221</v>
      </c>
      <c r="C2312" s="8">
        <v>46217</v>
      </c>
      <c r="D2312" s="9">
        <v>41740</v>
      </c>
    </row>
    <row r="2313" spans="1:4">
      <c r="A2313" t="s">
        <v>5</v>
      </c>
      <c r="B2313" t="s">
        <v>104</v>
      </c>
      <c r="C2313" s="8">
        <v>46217</v>
      </c>
      <c r="D2313" s="9">
        <v>40202</v>
      </c>
    </row>
    <row r="2314" spans="1:4">
      <c r="A2314" t="s">
        <v>5</v>
      </c>
      <c r="B2314" t="s">
        <v>190</v>
      </c>
      <c r="C2314" s="8">
        <v>46217</v>
      </c>
      <c r="D2314" s="9">
        <v>27633</v>
      </c>
    </row>
    <row r="2315" spans="1:4">
      <c r="A2315" t="s">
        <v>5</v>
      </c>
      <c r="B2315" t="s">
        <v>191</v>
      </c>
      <c r="C2315" s="8">
        <v>46217</v>
      </c>
      <c r="D2315" s="9">
        <v>35104</v>
      </c>
    </row>
    <row r="2316" spans="1:4">
      <c r="A2316" t="s">
        <v>5</v>
      </c>
      <c r="B2316" t="s">
        <v>131</v>
      </c>
      <c r="C2316" s="8">
        <v>46217</v>
      </c>
      <c r="D2316" s="9">
        <v>31095</v>
      </c>
    </row>
    <row r="2317" spans="1:4">
      <c r="A2317" t="s">
        <v>4</v>
      </c>
      <c r="B2317" t="s">
        <v>103</v>
      </c>
      <c r="C2317" s="8">
        <v>46218</v>
      </c>
      <c r="D2317" s="9">
        <v>41602</v>
      </c>
    </row>
    <row r="2318" spans="1:4">
      <c r="A2318" t="s">
        <v>4</v>
      </c>
      <c r="B2318" t="s">
        <v>161</v>
      </c>
      <c r="C2318" s="8">
        <v>46218</v>
      </c>
      <c r="D2318" s="9">
        <v>14912</v>
      </c>
    </row>
    <row r="2319" spans="1:4">
      <c r="A2319" t="s">
        <v>31</v>
      </c>
      <c r="B2319" t="s">
        <v>106</v>
      </c>
      <c r="C2319" s="8">
        <v>46218</v>
      </c>
      <c r="D2319" s="9">
        <v>10673</v>
      </c>
    </row>
    <row r="2320" spans="1:4">
      <c r="A2320" t="s">
        <v>30</v>
      </c>
      <c r="B2320" t="s">
        <v>56</v>
      </c>
      <c r="C2320" s="8">
        <v>46218</v>
      </c>
      <c r="D2320" s="9">
        <v>16574</v>
      </c>
    </row>
    <row r="2321" spans="1:4">
      <c r="A2321" t="s">
        <v>5</v>
      </c>
      <c r="B2321" t="s">
        <v>117</v>
      </c>
      <c r="C2321" s="8">
        <v>46218</v>
      </c>
      <c r="D2321" s="9">
        <v>34556</v>
      </c>
    </row>
    <row r="2322" spans="1:4">
      <c r="A2322" t="s">
        <v>5</v>
      </c>
      <c r="B2322" t="s">
        <v>95</v>
      </c>
      <c r="C2322" s="8">
        <v>46218</v>
      </c>
      <c r="D2322" s="9">
        <v>42387</v>
      </c>
    </row>
    <row r="2323" spans="1:4">
      <c r="A2323" t="s">
        <v>5</v>
      </c>
      <c r="B2323" t="s">
        <v>190</v>
      </c>
      <c r="C2323" s="8">
        <v>46218</v>
      </c>
      <c r="D2323" s="9">
        <v>30715</v>
      </c>
    </row>
    <row r="2324" spans="1:4">
      <c r="A2324" t="s">
        <v>5</v>
      </c>
      <c r="B2324" t="s">
        <v>146</v>
      </c>
      <c r="C2324" s="8">
        <v>46218</v>
      </c>
      <c r="D2324" s="9">
        <v>53088</v>
      </c>
    </row>
    <row r="2325" spans="1:4">
      <c r="A2325" t="s">
        <v>5</v>
      </c>
      <c r="B2325" t="s">
        <v>125</v>
      </c>
      <c r="C2325" s="8">
        <v>46218</v>
      </c>
      <c r="D2325" s="9">
        <v>61717</v>
      </c>
    </row>
    <row r="2326" spans="1:4">
      <c r="A2326" t="s">
        <v>27</v>
      </c>
      <c r="B2326" t="s">
        <v>68</v>
      </c>
      <c r="C2326" s="8">
        <v>46219</v>
      </c>
      <c r="D2326" s="9">
        <v>15428</v>
      </c>
    </row>
    <row r="2327" spans="1:4">
      <c r="A2327" t="s">
        <v>27</v>
      </c>
      <c r="B2327" t="s">
        <v>142</v>
      </c>
      <c r="C2327" s="8">
        <v>46219</v>
      </c>
      <c r="D2327" s="9">
        <v>11187</v>
      </c>
    </row>
    <row r="2328" spans="1:4">
      <c r="A2328" t="s">
        <v>4</v>
      </c>
      <c r="B2328" t="s">
        <v>208</v>
      </c>
      <c r="C2328" s="8">
        <v>46219</v>
      </c>
      <c r="D2328" s="9">
        <v>32206</v>
      </c>
    </row>
    <row r="2329" spans="1:4">
      <c r="A2329" t="s">
        <v>4</v>
      </c>
      <c r="B2329" t="s">
        <v>244</v>
      </c>
      <c r="C2329" s="8">
        <v>46219</v>
      </c>
      <c r="D2329" s="9">
        <v>24862</v>
      </c>
    </row>
    <row r="2330" spans="1:4">
      <c r="A2330" t="s">
        <v>4</v>
      </c>
      <c r="B2330" t="s">
        <v>213</v>
      </c>
      <c r="C2330" s="8">
        <v>46219</v>
      </c>
      <c r="D2330" s="9">
        <v>37932</v>
      </c>
    </row>
    <row r="2331" spans="1:4">
      <c r="A2331" t="s">
        <v>25</v>
      </c>
      <c r="B2331" t="s">
        <v>250</v>
      </c>
      <c r="C2331" s="8">
        <v>46219</v>
      </c>
      <c r="D2331" s="9">
        <v>19148</v>
      </c>
    </row>
    <row r="2332" spans="1:4">
      <c r="A2332" t="s">
        <v>25</v>
      </c>
      <c r="B2332" t="s">
        <v>63</v>
      </c>
      <c r="C2332" s="8">
        <v>46219</v>
      </c>
      <c r="D2332" s="9">
        <v>17232</v>
      </c>
    </row>
    <row r="2333" spans="1:4">
      <c r="A2333" t="s">
        <v>28</v>
      </c>
      <c r="B2333" t="s">
        <v>152</v>
      </c>
      <c r="C2333" s="8">
        <v>46219</v>
      </c>
      <c r="D2333" s="9">
        <v>18263</v>
      </c>
    </row>
    <row r="2334" spans="1:4">
      <c r="A2334" t="s">
        <v>6</v>
      </c>
      <c r="B2334" t="s">
        <v>216</v>
      </c>
      <c r="C2334" s="8">
        <v>46219</v>
      </c>
      <c r="D2334" s="9">
        <v>12048</v>
      </c>
    </row>
    <row r="2335" spans="1:4">
      <c r="A2335" t="s">
        <v>9</v>
      </c>
      <c r="B2335" t="s">
        <v>173</v>
      </c>
      <c r="C2335" s="8">
        <v>46219</v>
      </c>
      <c r="D2335" s="9">
        <v>29347</v>
      </c>
    </row>
    <row r="2336" spans="1:4">
      <c r="A2336" t="s">
        <v>9</v>
      </c>
      <c r="B2336" t="s">
        <v>187</v>
      </c>
      <c r="C2336" s="8">
        <v>46219</v>
      </c>
      <c r="D2336" s="9">
        <v>31385</v>
      </c>
    </row>
    <row r="2337" spans="1:4">
      <c r="A2337" t="s">
        <v>5</v>
      </c>
      <c r="B2337" t="s">
        <v>117</v>
      </c>
      <c r="C2337" s="8">
        <v>46219</v>
      </c>
      <c r="D2337" s="9">
        <v>43877</v>
      </c>
    </row>
    <row r="2338" spans="1:4">
      <c r="A2338" t="s">
        <v>5</v>
      </c>
      <c r="B2338" t="s">
        <v>202</v>
      </c>
      <c r="C2338" s="8">
        <v>46219</v>
      </c>
      <c r="D2338" s="9">
        <v>40574</v>
      </c>
    </row>
    <row r="2339" spans="1:4">
      <c r="A2339" t="s">
        <v>27</v>
      </c>
      <c r="B2339" t="s">
        <v>270</v>
      </c>
      <c r="C2339" s="8">
        <v>46220</v>
      </c>
      <c r="D2339" s="9">
        <v>15992</v>
      </c>
    </row>
    <row r="2340" spans="1:4">
      <c r="A2340" t="s">
        <v>26</v>
      </c>
      <c r="B2340" t="s">
        <v>83</v>
      </c>
      <c r="C2340" s="8">
        <v>46220</v>
      </c>
      <c r="D2340" s="9">
        <v>18978</v>
      </c>
    </row>
    <row r="2341" spans="1:4">
      <c r="A2341" t="s">
        <v>34</v>
      </c>
      <c r="B2341" t="s">
        <v>215</v>
      </c>
      <c r="C2341" s="8">
        <v>46220</v>
      </c>
      <c r="D2341" s="9">
        <v>12276</v>
      </c>
    </row>
    <row r="2342" spans="1:4">
      <c r="A2342" t="s">
        <v>7</v>
      </c>
      <c r="B2342" t="s">
        <v>113</v>
      </c>
      <c r="C2342" s="8">
        <v>46220</v>
      </c>
      <c r="D2342" s="9">
        <v>10200</v>
      </c>
    </row>
    <row r="2343" spans="1:4">
      <c r="A2343" t="s">
        <v>5</v>
      </c>
      <c r="B2343" t="s">
        <v>94</v>
      </c>
      <c r="C2343" s="8">
        <v>46220</v>
      </c>
      <c r="D2343" s="9">
        <v>34325</v>
      </c>
    </row>
    <row r="2344" spans="1:4">
      <c r="A2344" t="s">
        <v>5</v>
      </c>
      <c r="B2344" t="s">
        <v>80</v>
      </c>
      <c r="C2344" s="8">
        <v>46220</v>
      </c>
      <c r="D2344" s="9">
        <v>38007</v>
      </c>
    </row>
    <row r="2345" spans="1:4">
      <c r="A2345" t="s">
        <v>4</v>
      </c>
      <c r="B2345" t="s">
        <v>133</v>
      </c>
      <c r="C2345" s="8">
        <v>46221</v>
      </c>
      <c r="D2345" s="9">
        <v>12475</v>
      </c>
    </row>
    <row r="2346" spans="1:4">
      <c r="A2346" t="s">
        <v>4</v>
      </c>
      <c r="B2346" t="s">
        <v>116</v>
      </c>
      <c r="C2346" s="8">
        <v>46221</v>
      </c>
      <c r="D2346" s="9">
        <v>39256</v>
      </c>
    </row>
    <row r="2347" spans="1:4">
      <c r="A2347" t="s">
        <v>4</v>
      </c>
      <c r="B2347" t="s">
        <v>147</v>
      </c>
      <c r="C2347" s="8">
        <v>46221</v>
      </c>
      <c r="D2347" s="9">
        <v>25324</v>
      </c>
    </row>
    <row r="2348" spans="1:4">
      <c r="A2348" t="s">
        <v>4</v>
      </c>
      <c r="B2348" t="s">
        <v>147</v>
      </c>
      <c r="C2348" s="8">
        <v>46221</v>
      </c>
      <c r="D2348" s="9">
        <v>28796</v>
      </c>
    </row>
    <row r="2349" spans="1:4">
      <c r="A2349" t="s">
        <v>4</v>
      </c>
      <c r="B2349" t="s">
        <v>212</v>
      </c>
      <c r="C2349" s="8">
        <v>46221</v>
      </c>
      <c r="D2349" s="9">
        <v>37220</v>
      </c>
    </row>
    <row r="2350" spans="1:4">
      <c r="A2350" t="s">
        <v>4</v>
      </c>
      <c r="B2350" t="s">
        <v>131</v>
      </c>
      <c r="C2350" s="8">
        <v>46221</v>
      </c>
      <c r="D2350" s="9">
        <v>25832</v>
      </c>
    </row>
    <row r="2351" spans="1:4">
      <c r="A2351" t="s">
        <v>6</v>
      </c>
      <c r="B2351" t="s">
        <v>164</v>
      </c>
      <c r="C2351" s="8">
        <v>46221</v>
      </c>
      <c r="D2351" s="9">
        <v>19274</v>
      </c>
    </row>
    <row r="2352" spans="1:4">
      <c r="A2352" t="s">
        <v>9</v>
      </c>
      <c r="B2352" t="s">
        <v>101</v>
      </c>
      <c r="C2352" s="8">
        <v>46221</v>
      </c>
      <c r="D2352" s="9">
        <v>35424</v>
      </c>
    </row>
    <row r="2353" spans="1:4">
      <c r="A2353" t="s">
        <v>9</v>
      </c>
      <c r="B2353" t="s">
        <v>65</v>
      </c>
      <c r="C2353" s="8">
        <v>46221</v>
      </c>
      <c r="D2353" s="9">
        <v>49562</v>
      </c>
    </row>
    <row r="2354" spans="1:4">
      <c r="A2354" t="s">
        <v>9</v>
      </c>
      <c r="B2354" t="s">
        <v>48</v>
      </c>
      <c r="C2354" s="8">
        <v>46221</v>
      </c>
      <c r="D2354" s="9">
        <v>34548</v>
      </c>
    </row>
    <row r="2355" spans="1:4">
      <c r="A2355" t="s">
        <v>9</v>
      </c>
      <c r="B2355" t="s">
        <v>166</v>
      </c>
      <c r="C2355" s="8">
        <v>46221</v>
      </c>
      <c r="D2355" s="9">
        <v>27083</v>
      </c>
    </row>
    <row r="2356" spans="1:4">
      <c r="A2356" t="s">
        <v>5</v>
      </c>
      <c r="B2356" t="s">
        <v>188</v>
      </c>
      <c r="C2356" s="8">
        <v>46221</v>
      </c>
      <c r="D2356" s="9">
        <v>45076</v>
      </c>
    </row>
    <row r="2357" spans="1:4">
      <c r="A2357" t="s">
        <v>5</v>
      </c>
      <c r="B2357" t="s">
        <v>174</v>
      </c>
      <c r="C2357" s="8">
        <v>46221</v>
      </c>
      <c r="D2357" s="9">
        <v>41833</v>
      </c>
    </row>
    <row r="2358" spans="1:4">
      <c r="A2358" t="s">
        <v>27</v>
      </c>
      <c r="B2358" t="s">
        <v>211</v>
      </c>
      <c r="C2358" s="8">
        <v>46222</v>
      </c>
      <c r="D2358" s="9">
        <v>22917</v>
      </c>
    </row>
    <row r="2359" spans="1:4">
      <c r="A2359" t="s">
        <v>8</v>
      </c>
      <c r="B2359" t="s">
        <v>98</v>
      </c>
      <c r="C2359" s="8">
        <v>46222</v>
      </c>
      <c r="D2359" s="9">
        <v>16397</v>
      </c>
    </row>
    <row r="2360" spans="1:4">
      <c r="A2360" t="s">
        <v>32</v>
      </c>
      <c r="B2360" t="s">
        <v>273</v>
      </c>
      <c r="C2360" s="8">
        <v>46222</v>
      </c>
      <c r="D2360" s="9">
        <v>13832</v>
      </c>
    </row>
    <row r="2361" spans="1:4">
      <c r="A2361" t="s">
        <v>33</v>
      </c>
      <c r="B2361" t="s">
        <v>128</v>
      </c>
      <c r="C2361" s="8">
        <v>46222</v>
      </c>
      <c r="D2361" s="9">
        <v>14657</v>
      </c>
    </row>
    <row r="2362" spans="1:4">
      <c r="A2362" t="s">
        <v>29</v>
      </c>
      <c r="B2362" t="s">
        <v>226</v>
      </c>
      <c r="C2362" s="8">
        <v>46222</v>
      </c>
      <c r="D2362" s="9">
        <v>10400</v>
      </c>
    </row>
    <row r="2363" spans="1:4">
      <c r="A2363" t="s">
        <v>7</v>
      </c>
      <c r="B2363" t="s">
        <v>275</v>
      </c>
      <c r="C2363" s="8">
        <v>46222</v>
      </c>
      <c r="D2363" s="9">
        <v>33511</v>
      </c>
    </row>
    <row r="2364" spans="1:4">
      <c r="A2364" t="s">
        <v>7</v>
      </c>
      <c r="B2364" t="s">
        <v>89</v>
      </c>
      <c r="C2364" s="8">
        <v>46222</v>
      </c>
      <c r="D2364" s="9">
        <v>29531</v>
      </c>
    </row>
    <row r="2365" spans="1:4">
      <c r="A2365" t="s">
        <v>7</v>
      </c>
      <c r="B2365" t="s">
        <v>76</v>
      </c>
      <c r="C2365" s="8">
        <v>46222</v>
      </c>
      <c r="D2365" s="9">
        <v>27695</v>
      </c>
    </row>
    <row r="2366" spans="1:4">
      <c r="A2366" t="s">
        <v>9</v>
      </c>
      <c r="B2366" t="s">
        <v>249</v>
      </c>
      <c r="C2366" s="8">
        <v>46222</v>
      </c>
      <c r="D2366" s="9">
        <v>29739</v>
      </c>
    </row>
    <row r="2367" spans="1:4">
      <c r="A2367" t="s">
        <v>9</v>
      </c>
      <c r="B2367" t="s">
        <v>227</v>
      </c>
      <c r="C2367" s="8">
        <v>46222</v>
      </c>
      <c r="D2367" s="9">
        <v>31313</v>
      </c>
    </row>
    <row r="2368" spans="1:4">
      <c r="A2368" t="s">
        <v>9</v>
      </c>
      <c r="B2368" t="s">
        <v>137</v>
      </c>
      <c r="C2368" s="8">
        <v>46222</v>
      </c>
      <c r="D2368" s="9">
        <v>24148</v>
      </c>
    </row>
    <row r="2369" spans="1:4">
      <c r="A2369" t="s">
        <v>9</v>
      </c>
      <c r="B2369" t="s">
        <v>195</v>
      </c>
      <c r="C2369" s="8">
        <v>46222</v>
      </c>
      <c r="D2369" s="9">
        <v>30261</v>
      </c>
    </row>
    <row r="2370" spans="1:4">
      <c r="A2370" t="s">
        <v>5</v>
      </c>
      <c r="B2370" t="s">
        <v>196</v>
      </c>
      <c r="C2370" s="8">
        <v>46222</v>
      </c>
      <c r="D2370" s="9">
        <v>53421</v>
      </c>
    </row>
    <row r="2371" spans="1:4">
      <c r="A2371" t="s">
        <v>5</v>
      </c>
      <c r="B2371" t="s">
        <v>243</v>
      </c>
      <c r="C2371" s="8">
        <v>46222</v>
      </c>
      <c r="D2371" s="9">
        <v>42047</v>
      </c>
    </row>
    <row r="2372" spans="1:4">
      <c r="A2372" t="s">
        <v>5</v>
      </c>
      <c r="B2372" t="s">
        <v>168</v>
      </c>
      <c r="C2372" s="8">
        <v>46222</v>
      </c>
      <c r="D2372" s="9">
        <v>32585</v>
      </c>
    </row>
    <row r="2373" spans="1:4">
      <c r="A2373" t="s">
        <v>35</v>
      </c>
      <c r="B2373" t="s">
        <v>210</v>
      </c>
      <c r="C2373" s="8">
        <v>46223</v>
      </c>
      <c r="D2373" s="9">
        <v>25113</v>
      </c>
    </row>
    <row r="2374" spans="1:4">
      <c r="A2374" t="s">
        <v>27</v>
      </c>
      <c r="B2374" t="s">
        <v>237</v>
      </c>
      <c r="C2374" s="8">
        <v>46223</v>
      </c>
      <c r="D2374" s="9">
        <v>5200</v>
      </c>
    </row>
    <row r="2375" spans="1:4">
      <c r="A2375" t="s">
        <v>4</v>
      </c>
      <c r="B2375" t="s">
        <v>244</v>
      </c>
      <c r="C2375" s="8">
        <v>46223</v>
      </c>
      <c r="D2375" s="9">
        <v>36558</v>
      </c>
    </row>
    <row r="2376" spans="1:4">
      <c r="A2376" t="s">
        <v>4</v>
      </c>
      <c r="B2376" t="s">
        <v>244</v>
      </c>
      <c r="C2376" s="8">
        <v>46223</v>
      </c>
      <c r="D2376" s="9">
        <v>27944</v>
      </c>
    </row>
    <row r="2377" spans="1:4">
      <c r="A2377" t="s">
        <v>6</v>
      </c>
      <c r="B2377" t="s">
        <v>180</v>
      </c>
      <c r="C2377" s="8">
        <v>46223</v>
      </c>
      <c r="D2377" s="9">
        <v>26272</v>
      </c>
    </row>
    <row r="2378" spans="1:4">
      <c r="A2378" t="s">
        <v>7</v>
      </c>
      <c r="B2378" t="s">
        <v>90</v>
      </c>
      <c r="C2378" s="8">
        <v>46223</v>
      </c>
      <c r="D2378" s="9">
        <v>20384</v>
      </c>
    </row>
    <row r="2379" spans="1:4">
      <c r="A2379" t="s">
        <v>5</v>
      </c>
      <c r="B2379" t="s">
        <v>139</v>
      </c>
      <c r="C2379" s="8">
        <v>46223</v>
      </c>
      <c r="D2379" s="9">
        <v>53798</v>
      </c>
    </row>
    <row r="2380" spans="1:4">
      <c r="A2380" t="s">
        <v>5</v>
      </c>
      <c r="B2380" t="s">
        <v>167</v>
      </c>
      <c r="C2380" s="8">
        <v>46223</v>
      </c>
      <c r="D2380" s="9">
        <v>40051</v>
      </c>
    </row>
    <row r="2381" spans="1:4">
      <c r="A2381" t="s">
        <v>5</v>
      </c>
      <c r="B2381" t="s">
        <v>53</v>
      </c>
      <c r="C2381" s="8">
        <v>46223</v>
      </c>
      <c r="D2381" s="9">
        <v>41361</v>
      </c>
    </row>
    <row r="2382" spans="1:4">
      <c r="A2382" t="s">
        <v>5</v>
      </c>
      <c r="B2382" t="s">
        <v>205</v>
      </c>
      <c r="C2382" s="8">
        <v>46223</v>
      </c>
      <c r="D2382" s="9">
        <v>51561</v>
      </c>
    </row>
    <row r="2383" spans="1:4">
      <c r="A2383" t="s">
        <v>27</v>
      </c>
      <c r="B2383" t="s">
        <v>160</v>
      </c>
      <c r="C2383" s="8">
        <v>46224</v>
      </c>
      <c r="D2383" s="9">
        <v>17312</v>
      </c>
    </row>
    <row r="2384" spans="1:4">
      <c r="A2384" t="s">
        <v>4</v>
      </c>
      <c r="B2384" t="s">
        <v>201</v>
      </c>
      <c r="C2384" s="8">
        <v>46224</v>
      </c>
      <c r="D2384" s="9">
        <v>35243</v>
      </c>
    </row>
    <row r="2385" spans="1:4">
      <c r="A2385" t="s">
        <v>4</v>
      </c>
      <c r="B2385" t="s">
        <v>230</v>
      </c>
      <c r="C2385" s="8">
        <v>46224</v>
      </c>
      <c r="D2385" s="9">
        <v>36971</v>
      </c>
    </row>
    <row r="2386" spans="1:4">
      <c r="A2386" t="s">
        <v>4</v>
      </c>
      <c r="B2386" t="s">
        <v>260</v>
      </c>
      <c r="C2386" s="8">
        <v>46224</v>
      </c>
      <c r="D2386" s="9">
        <v>23602</v>
      </c>
    </row>
    <row r="2387" spans="1:4">
      <c r="A2387" t="s">
        <v>25</v>
      </c>
      <c r="B2387" t="s">
        <v>127</v>
      </c>
      <c r="C2387" s="8">
        <v>46224</v>
      </c>
      <c r="D2387" s="9">
        <v>37152</v>
      </c>
    </row>
    <row r="2388" spans="1:4">
      <c r="A2388" t="s">
        <v>26</v>
      </c>
      <c r="B2388" t="s">
        <v>281</v>
      </c>
      <c r="C2388" s="8">
        <v>46224</v>
      </c>
      <c r="D2388" s="9">
        <v>20539</v>
      </c>
    </row>
    <row r="2389" spans="1:4">
      <c r="A2389" t="s">
        <v>9</v>
      </c>
      <c r="B2389" t="s">
        <v>150</v>
      </c>
      <c r="C2389" s="8">
        <v>46224</v>
      </c>
      <c r="D2389" s="9">
        <v>30931</v>
      </c>
    </row>
    <row r="2390" spans="1:4">
      <c r="A2390" t="s">
        <v>9</v>
      </c>
      <c r="B2390" t="s">
        <v>79</v>
      </c>
      <c r="C2390" s="8">
        <v>46224</v>
      </c>
      <c r="D2390" s="9">
        <v>47727</v>
      </c>
    </row>
    <row r="2391" spans="1:4">
      <c r="A2391" t="s">
        <v>5</v>
      </c>
      <c r="B2391" t="s">
        <v>93</v>
      </c>
      <c r="C2391" s="8">
        <v>46224</v>
      </c>
      <c r="D2391" s="9">
        <v>45411</v>
      </c>
    </row>
    <row r="2392" spans="1:4">
      <c r="A2392" t="s">
        <v>5</v>
      </c>
      <c r="B2392" t="s">
        <v>95</v>
      </c>
      <c r="C2392" s="8">
        <v>46224</v>
      </c>
      <c r="D2392" s="9">
        <v>36374</v>
      </c>
    </row>
    <row r="2393" spans="1:4">
      <c r="A2393" t="s">
        <v>5</v>
      </c>
      <c r="B2393" t="s">
        <v>243</v>
      </c>
      <c r="C2393" s="8">
        <v>46224</v>
      </c>
      <c r="D2393" s="9">
        <v>25676</v>
      </c>
    </row>
    <row r="2394" spans="1:4">
      <c r="A2394" t="s">
        <v>5</v>
      </c>
      <c r="B2394" t="s">
        <v>174</v>
      </c>
      <c r="C2394" s="8">
        <v>46224</v>
      </c>
      <c r="D2394" s="9">
        <v>41879</v>
      </c>
    </row>
    <row r="2395" spans="1:4">
      <c r="A2395" t="s">
        <v>4</v>
      </c>
      <c r="B2395" t="s">
        <v>271</v>
      </c>
      <c r="C2395" s="8">
        <v>46225</v>
      </c>
      <c r="D2395" s="9">
        <v>22526</v>
      </c>
    </row>
    <row r="2396" spans="1:4">
      <c r="A2396" t="s">
        <v>4</v>
      </c>
      <c r="B2396" t="s">
        <v>192</v>
      </c>
      <c r="C2396" s="8">
        <v>46225</v>
      </c>
      <c r="D2396" s="9">
        <v>22453</v>
      </c>
    </row>
    <row r="2397" spans="1:4">
      <c r="A2397" t="s">
        <v>4</v>
      </c>
      <c r="B2397" t="s">
        <v>60</v>
      </c>
      <c r="C2397" s="8">
        <v>46225</v>
      </c>
      <c r="D2397" s="9">
        <v>58840</v>
      </c>
    </row>
    <row r="2398" spans="1:4">
      <c r="A2398" t="s">
        <v>31</v>
      </c>
      <c r="B2398" t="s">
        <v>207</v>
      </c>
      <c r="C2398" s="8">
        <v>46225</v>
      </c>
      <c r="D2398" s="9">
        <v>14395</v>
      </c>
    </row>
    <row r="2399" spans="1:4">
      <c r="A2399" t="s">
        <v>7</v>
      </c>
      <c r="B2399" t="s">
        <v>263</v>
      </c>
      <c r="C2399" s="8">
        <v>46225</v>
      </c>
      <c r="D2399" s="9">
        <v>28819</v>
      </c>
    </row>
    <row r="2400" spans="1:4">
      <c r="A2400" t="s">
        <v>9</v>
      </c>
      <c r="B2400" t="s">
        <v>101</v>
      </c>
      <c r="C2400" s="8">
        <v>46225</v>
      </c>
      <c r="D2400" s="9">
        <v>30494</v>
      </c>
    </row>
    <row r="2401" spans="1:4">
      <c r="A2401" t="s">
        <v>9</v>
      </c>
      <c r="B2401" t="s">
        <v>249</v>
      </c>
      <c r="C2401" s="8">
        <v>46225</v>
      </c>
      <c r="D2401" s="9">
        <v>32175</v>
      </c>
    </row>
    <row r="2402" spans="1:4">
      <c r="A2402" t="s">
        <v>9</v>
      </c>
      <c r="B2402" t="s">
        <v>78</v>
      </c>
      <c r="C2402" s="8">
        <v>46225</v>
      </c>
      <c r="D2402" s="9">
        <v>39755</v>
      </c>
    </row>
    <row r="2403" spans="1:4">
      <c r="A2403" t="s">
        <v>5</v>
      </c>
      <c r="B2403" t="s">
        <v>181</v>
      </c>
      <c r="C2403" s="8">
        <v>46225</v>
      </c>
      <c r="D2403" s="9">
        <v>28350</v>
      </c>
    </row>
    <row r="2404" spans="1:4">
      <c r="A2404" t="s">
        <v>5</v>
      </c>
      <c r="B2404" t="s">
        <v>132</v>
      </c>
      <c r="C2404" s="8">
        <v>46225</v>
      </c>
      <c r="D2404" s="9">
        <v>38795</v>
      </c>
    </row>
    <row r="2405" spans="1:4">
      <c r="A2405" t="s">
        <v>5</v>
      </c>
      <c r="B2405" t="s">
        <v>103</v>
      </c>
      <c r="C2405" s="8">
        <v>46225</v>
      </c>
      <c r="D2405" s="9">
        <v>32087</v>
      </c>
    </row>
    <row r="2406" spans="1:4">
      <c r="A2406" t="s">
        <v>5</v>
      </c>
      <c r="B2406" t="s">
        <v>104</v>
      </c>
      <c r="C2406" s="8">
        <v>46225</v>
      </c>
      <c r="D2406" s="9">
        <v>47274</v>
      </c>
    </row>
    <row r="2407" spans="1:4">
      <c r="A2407" t="s">
        <v>5</v>
      </c>
      <c r="B2407" t="s">
        <v>117</v>
      </c>
      <c r="C2407" s="8">
        <v>46225</v>
      </c>
      <c r="D2407" s="9">
        <v>37733</v>
      </c>
    </row>
    <row r="2408" spans="1:4">
      <c r="A2408" t="s">
        <v>5</v>
      </c>
      <c r="B2408" t="s">
        <v>118</v>
      </c>
      <c r="C2408" s="8">
        <v>46225</v>
      </c>
      <c r="D2408" s="9">
        <v>34062</v>
      </c>
    </row>
    <row r="2409" spans="1:4">
      <c r="A2409" t="s">
        <v>5</v>
      </c>
      <c r="B2409" t="s">
        <v>205</v>
      </c>
      <c r="C2409" s="8">
        <v>46225</v>
      </c>
      <c r="D2409" s="9">
        <v>49267</v>
      </c>
    </row>
    <row r="2410" spans="1:4">
      <c r="A2410" t="s">
        <v>4</v>
      </c>
      <c r="B2410" t="s">
        <v>167</v>
      </c>
      <c r="C2410" s="8">
        <v>46226</v>
      </c>
      <c r="D2410" s="9">
        <v>41931</v>
      </c>
    </row>
    <row r="2411" spans="1:4">
      <c r="A2411" t="s">
        <v>4</v>
      </c>
      <c r="B2411" t="s">
        <v>241</v>
      </c>
      <c r="C2411" s="8">
        <v>46226</v>
      </c>
      <c r="D2411" s="9">
        <v>44947</v>
      </c>
    </row>
    <row r="2412" spans="1:4">
      <c r="A2412" t="s">
        <v>31</v>
      </c>
      <c r="B2412" t="s">
        <v>99</v>
      </c>
      <c r="C2412" s="8">
        <v>46226</v>
      </c>
      <c r="D2412" s="9">
        <v>15802</v>
      </c>
    </row>
    <row r="2413" spans="1:4">
      <c r="A2413" t="s">
        <v>7</v>
      </c>
      <c r="B2413" t="s">
        <v>61</v>
      </c>
      <c r="C2413" s="8">
        <v>46226</v>
      </c>
      <c r="D2413" s="9">
        <v>35534</v>
      </c>
    </row>
    <row r="2414" spans="1:4">
      <c r="A2414" t="s">
        <v>5</v>
      </c>
      <c r="B2414" t="s">
        <v>205</v>
      </c>
      <c r="C2414" s="8">
        <v>46226</v>
      </c>
      <c r="D2414" s="9">
        <v>39068</v>
      </c>
    </row>
    <row r="2415" spans="1:4">
      <c r="A2415" t="s">
        <v>4</v>
      </c>
      <c r="B2415" t="s">
        <v>192</v>
      </c>
      <c r="C2415" s="8">
        <v>46227</v>
      </c>
      <c r="D2415" s="9">
        <v>33279</v>
      </c>
    </row>
    <row r="2416" spans="1:4">
      <c r="A2416" t="s">
        <v>4</v>
      </c>
      <c r="B2416" t="s">
        <v>238</v>
      </c>
      <c r="C2416" s="8">
        <v>46227</v>
      </c>
      <c r="D2416" s="9">
        <v>32850</v>
      </c>
    </row>
    <row r="2417" spans="1:4">
      <c r="A2417" t="s">
        <v>28</v>
      </c>
      <c r="B2417" t="s">
        <v>109</v>
      </c>
      <c r="C2417" s="8">
        <v>46227</v>
      </c>
      <c r="D2417" s="9">
        <v>5597</v>
      </c>
    </row>
    <row r="2418" spans="1:4">
      <c r="A2418" t="s">
        <v>26</v>
      </c>
      <c r="B2418" t="s">
        <v>97</v>
      </c>
      <c r="C2418" s="8">
        <v>46227</v>
      </c>
      <c r="D2418" s="9">
        <v>18758</v>
      </c>
    </row>
    <row r="2419" spans="1:4">
      <c r="A2419" t="s">
        <v>8</v>
      </c>
      <c r="B2419" t="s">
        <v>194</v>
      </c>
      <c r="C2419" s="8">
        <v>46227</v>
      </c>
      <c r="D2419" s="9">
        <v>32055</v>
      </c>
    </row>
    <row r="2420" spans="1:4">
      <c r="A2420" t="s">
        <v>9</v>
      </c>
      <c r="B2420" t="s">
        <v>277</v>
      </c>
      <c r="C2420" s="8">
        <v>46227</v>
      </c>
      <c r="D2420" s="9">
        <v>37009</v>
      </c>
    </row>
    <row r="2421" spans="1:4">
      <c r="A2421" t="s">
        <v>5</v>
      </c>
      <c r="B2421" t="s">
        <v>80</v>
      </c>
      <c r="C2421" s="8">
        <v>46227</v>
      </c>
      <c r="D2421" s="9">
        <v>45795</v>
      </c>
    </row>
    <row r="2422" spans="1:4">
      <c r="A2422" t="s">
        <v>5</v>
      </c>
      <c r="B2422" t="s">
        <v>174</v>
      </c>
      <c r="C2422" s="8">
        <v>46227</v>
      </c>
      <c r="D2422" s="9">
        <v>39402</v>
      </c>
    </row>
    <row r="2423" spans="1:4">
      <c r="A2423" t="s">
        <v>5</v>
      </c>
      <c r="B2423" t="s">
        <v>205</v>
      </c>
      <c r="C2423" s="8">
        <v>46227</v>
      </c>
      <c r="D2423" s="9">
        <v>36992</v>
      </c>
    </row>
    <row r="2424" spans="1:4">
      <c r="A2424" t="s">
        <v>4</v>
      </c>
      <c r="B2424" t="s">
        <v>247</v>
      </c>
      <c r="C2424" s="8">
        <v>46228</v>
      </c>
      <c r="D2424" s="9">
        <v>27014</v>
      </c>
    </row>
    <row r="2425" spans="1:4">
      <c r="A2425" t="s">
        <v>25</v>
      </c>
      <c r="B2425" t="s">
        <v>261</v>
      </c>
      <c r="C2425" s="8">
        <v>46228</v>
      </c>
      <c r="D2425" s="9">
        <v>17980</v>
      </c>
    </row>
    <row r="2426" spans="1:4">
      <c r="A2426" t="s">
        <v>28</v>
      </c>
      <c r="B2426" t="s">
        <v>71</v>
      </c>
      <c r="C2426" s="8">
        <v>46228</v>
      </c>
      <c r="D2426" s="9">
        <v>15218</v>
      </c>
    </row>
    <row r="2427" spans="1:4">
      <c r="A2427" t="s">
        <v>6</v>
      </c>
      <c r="B2427" t="s">
        <v>72</v>
      </c>
      <c r="C2427" s="8">
        <v>46228</v>
      </c>
      <c r="D2427" s="9">
        <v>21329</v>
      </c>
    </row>
    <row r="2428" spans="1:4">
      <c r="A2428" t="s">
        <v>6</v>
      </c>
      <c r="B2428" t="s">
        <v>73</v>
      </c>
      <c r="C2428" s="8">
        <v>46228</v>
      </c>
      <c r="D2428" s="9">
        <v>9758</v>
      </c>
    </row>
    <row r="2429" spans="1:4">
      <c r="A2429" t="s">
        <v>29</v>
      </c>
      <c r="B2429" t="s">
        <v>149</v>
      </c>
      <c r="C2429" s="8">
        <v>46228</v>
      </c>
      <c r="D2429" s="9">
        <v>13176</v>
      </c>
    </row>
    <row r="2430" spans="1:4">
      <c r="A2430" t="s">
        <v>9</v>
      </c>
      <c r="B2430" t="s">
        <v>191</v>
      </c>
      <c r="C2430" s="8">
        <v>46228</v>
      </c>
      <c r="D2430" s="9">
        <v>35076</v>
      </c>
    </row>
    <row r="2431" spans="1:4">
      <c r="A2431" t="s">
        <v>5</v>
      </c>
      <c r="B2431" t="s">
        <v>184</v>
      </c>
      <c r="C2431" s="8">
        <v>46228</v>
      </c>
      <c r="D2431" s="9">
        <v>37015</v>
      </c>
    </row>
    <row r="2432" spans="1:4">
      <c r="A2432" t="s">
        <v>5</v>
      </c>
      <c r="B2432" t="s">
        <v>62</v>
      </c>
      <c r="C2432" s="8">
        <v>46228</v>
      </c>
      <c r="D2432" s="9">
        <v>36387</v>
      </c>
    </row>
    <row r="2433" spans="1:4">
      <c r="A2433" t="s">
        <v>5</v>
      </c>
      <c r="B2433" t="s">
        <v>139</v>
      </c>
      <c r="C2433" s="8">
        <v>46228</v>
      </c>
      <c r="D2433" s="9">
        <v>41401</v>
      </c>
    </row>
    <row r="2434" spans="1:4">
      <c r="A2434" t="s">
        <v>5</v>
      </c>
      <c r="B2434" t="s">
        <v>167</v>
      </c>
      <c r="C2434" s="8">
        <v>46228</v>
      </c>
      <c r="D2434" s="9">
        <v>35914</v>
      </c>
    </row>
    <row r="2435" spans="1:4">
      <c r="A2435" t="s">
        <v>5</v>
      </c>
      <c r="B2435" t="s">
        <v>118</v>
      </c>
      <c r="C2435" s="8">
        <v>46228</v>
      </c>
      <c r="D2435" s="9">
        <v>39006</v>
      </c>
    </row>
    <row r="2436" spans="1:4">
      <c r="A2436" t="s">
        <v>5</v>
      </c>
      <c r="B2436" t="s">
        <v>140</v>
      </c>
      <c r="C2436" s="8">
        <v>46228</v>
      </c>
      <c r="D2436" s="9">
        <v>46827</v>
      </c>
    </row>
    <row r="2437" spans="1:4">
      <c r="A2437" t="s">
        <v>5</v>
      </c>
      <c r="B2437" t="s">
        <v>141</v>
      </c>
      <c r="C2437" s="8">
        <v>46228</v>
      </c>
      <c r="D2437" s="9">
        <v>29775</v>
      </c>
    </row>
    <row r="2438" spans="1:4">
      <c r="A2438" t="s">
        <v>4</v>
      </c>
      <c r="B2438" t="s">
        <v>229</v>
      </c>
      <c r="C2438" s="8">
        <v>46229</v>
      </c>
      <c r="D2438" s="9">
        <v>26632</v>
      </c>
    </row>
    <row r="2439" spans="1:4">
      <c r="A2439" t="s">
        <v>4</v>
      </c>
      <c r="B2439" t="s">
        <v>193</v>
      </c>
      <c r="C2439" s="8">
        <v>46229</v>
      </c>
      <c r="D2439" s="9">
        <v>38047</v>
      </c>
    </row>
    <row r="2440" spans="1:4">
      <c r="A2440" t="s">
        <v>4</v>
      </c>
      <c r="B2440" t="s">
        <v>260</v>
      </c>
      <c r="C2440" s="8">
        <v>46229</v>
      </c>
      <c r="D2440" s="9">
        <v>31640</v>
      </c>
    </row>
    <row r="2441" spans="1:4">
      <c r="A2441" t="s">
        <v>4</v>
      </c>
      <c r="B2441" t="s">
        <v>85</v>
      </c>
      <c r="C2441" s="8">
        <v>46229</v>
      </c>
      <c r="D2441" s="9">
        <v>32662</v>
      </c>
    </row>
    <row r="2442" spans="1:4">
      <c r="A2442" t="s">
        <v>25</v>
      </c>
      <c r="B2442" t="s">
        <v>153</v>
      </c>
      <c r="C2442" s="8">
        <v>46229</v>
      </c>
      <c r="D2442" s="9">
        <v>14739</v>
      </c>
    </row>
    <row r="2443" spans="1:4">
      <c r="A2443" t="s">
        <v>26</v>
      </c>
      <c r="B2443" t="s">
        <v>179</v>
      </c>
      <c r="C2443" s="8">
        <v>46229</v>
      </c>
      <c r="D2443" s="9">
        <v>18045</v>
      </c>
    </row>
    <row r="2444" spans="1:4">
      <c r="A2444" t="s">
        <v>26</v>
      </c>
      <c r="B2444" t="s">
        <v>278</v>
      </c>
      <c r="C2444" s="8">
        <v>46229</v>
      </c>
      <c r="D2444" s="9">
        <v>27163</v>
      </c>
    </row>
    <row r="2445" spans="1:4">
      <c r="A2445" t="s">
        <v>8</v>
      </c>
      <c r="B2445" t="s">
        <v>219</v>
      </c>
      <c r="C2445" s="8">
        <v>46229</v>
      </c>
      <c r="D2445" s="9">
        <v>7355</v>
      </c>
    </row>
    <row r="2446" spans="1:4">
      <c r="A2446" t="s">
        <v>9</v>
      </c>
      <c r="B2446" t="s">
        <v>91</v>
      </c>
      <c r="C2446" s="8">
        <v>46229</v>
      </c>
      <c r="D2446" s="9">
        <v>28438</v>
      </c>
    </row>
    <row r="2447" spans="1:4">
      <c r="A2447" t="s">
        <v>5</v>
      </c>
      <c r="B2447" t="s">
        <v>206</v>
      </c>
      <c r="C2447" s="8">
        <v>46229</v>
      </c>
      <c r="D2447" s="9">
        <v>50898</v>
      </c>
    </row>
    <row r="2448" spans="1:4">
      <c r="A2448" t="s">
        <v>5</v>
      </c>
      <c r="B2448" t="s">
        <v>81</v>
      </c>
      <c r="C2448" s="8">
        <v>46229</v>
      </c>
      <c r="D2448" s="9">
        <v>40639</v>
      </c>
    </row>
    <row r="2449" spans="1:4">
      <c r="A2449" t="s">
        <v>5</v>
      </c>
      <c r="B2449" t="s">
        <v>118</v>
      </c>
      <c r="C2449" s="8">
        <v>46229</v>
      </c>
      <c r="D2449" s="9">
        <v>31659</v>
      </c>
    </row>
    <row r="2450" spans="1:4">
      <c r="A2450" t="s">
        <v>5</v>
      </c>
      <c r="B2450" t="s">
        <v>146</v>
      </c>
      <c r="C2450" s="8">
        <v>46229</v>
      </c>
      <c r="D2450" s="9">
        <v>52847</v>
      </c>
    </row>
    <row r="2451" spans="1:4">
      <c r="A2451" t="s">
        <v>25</v>
      </c>
      <c r="B2451" t="s">
        <v>239</v>
      </c>
      <c r="C2451" s="8">
        <v>46230</v>
      </c>
      <c r="D2451" s="9">
        <v>14235</v>
      </c>
    </row>
    <row r="2452" spans="1:4">
      <c r="A2452" t="s">
        <v>26</v>
      </c>
      <c r="B2452" t="s">
        <v>245</v>
      </c>
      <c r="C2452" s="8">
        <v>46230</v>
      </c>
      <c r="D2452" s="9">
        <v>18232</v>
      </c>
    </row>
    <row r="2453" spans="1:4">
      <c r="A2453" t="s">
        <v>8</v>
      </c>
      <c r="B2453" t="s">
        <v>86</v>
      </c>
      <c r="C2453" s="8">
        <v>46230</v>
      </c>
      <c r="D2453" s="9">
        <v>23353</v>
      </c>
    </row>
    <row r="2454" spans="1:4">
      <c r="A2454" t="s">
        <v>6</v>
      </c>
      <c r="B2454" t="s">
        <v>262</v>
      </c>
      <c r="C2454" s="8">
        <v>46230</v>
      </c>
      <c r="D2454" s="9">
        <v>25028</v>
      </c>
    </row>
    <row r="2455" spans="1:4">
      <c r="A2455" t="s">
        <v>29</v>
      </c>
      <c r="B2455" t="s">
        <v>64</v>
      </c>
      <c r="C2455" s="8">
        <v>46230</v>
      </c>
      <c r="D2455" s="9">
        <v>10480</v>
      </c>
    </row>
    <row r="2456" spans="1:4">
      <c r="A2456" t="s">
        <v>7</v>
      </c>
      <c r="B2456" t="s">
        <v>77</v>
      </c>
      <c r="C2456" s="8">
        <v>46230</v>
      </c>
      <c r="D2456" s="9">
        <v>27005</v>
      </c>
    </row>
    <row r="2457" spans="1:4">
      <c r="A2457" t="s">
        <v>9</v>
      </c>
      <c r="B2457" t="s">
        <v>173</v>
      </c>
      <c r="C2457" s="8">
        <v>46230</v>
      </c>
      <c r="D2457" s="9">
        <v>30153</v>
      </c>
    </row>
    <row r="2458" spans="1:4">
      <c r="A2458" t="s">
        <v>9</v>
      </c>
      <c r="B2458" t="s">
        <v>283</v>
      </c>
      <c r="C2458" s="8">
        <v>46230</v>
      </c>
      <c r="D2458" s="9">
        <v>38425</v>
      </c>
    </row>
    <row r="2459" spans="1:4">
      <c r="A2459" t="s">
        <v>5</v>
      </c>
      <c r="B2459" t="s">
        <v>96</v>
      </c>
      <c r="C2459" s="8">
        <v>46230</v>
      </c>
      <c r="D2459" s="9">
        <v>46242</v>
      </c>
    </row>
    <row r="2460" spans="1:4">
      <c r="A2460" t="s">
        <v>5</v>
      </c>
      <c r="B2460" t="s">
        <v>191</v>
      </c>
      <c r="C2460" s="8">
        <v>46230</v>
      </c>
      <c r="D2460" s="9">
        <v>30723</v>
      </c>
    </row>
    <row r="2461" spans="1:4">
      <c r="A2461" t="s">
        <v>4</v>
      </c>
      <c r="B2461" t="s">
        <v>279</v>
      </c>
      <c r="C2461" s="8">
        <v>46231</v>
      </c>
      <c r="D2461" s="9">
        <v>46563</v>
      </c>
    </row>
    <row r="2462" spans="1:4">
      <c r="A2462" t="s">
        <v>26</v>
      </c>
      <c r="B2462" t="s">
        <v>223</v>
      </c>
      <c r="C2462" s="8">
        <v>46231</v>
      </c>
      <c r="D2462" s="9">
        <v>5200</v>
      </c>
    </row>
    <row r="2463" spans="1:4">
      <c r="A2463" t="s">
        <v>32</v>
      </c>
      <c r="B2463" t="s">
        <v>87</v>
      </c>
      <c r="C2463" s="8">
        <v>46231</v>
      </c>
      <c r="D2463" s="9">
        <v>13702</v>
      </c>
    </row>
    <row r="2464" spans="1:4">
      <c r="A2464" t="s">
        <v>7</v>
      </c>
      <c r="B2464" t="s">
        <v>235</v>
      </c>
      <c r="C2464" s="8">
        <v>46231</v>
      </c>
      <c r="D2464" s="9">
        <v>29108</v>
      </c>
    </row>
    <row r="2465" spans="1:4">
      <c r="A2465" t="s">
        <v>9</v>
      </c>
      <c r="B2465" t="s">
        <v>227</v>
      </c>
      <c r="C2465" s="8">
        <v>46231</v>
      </c>
      <c r="D2465" s="9">
        <v>32202</v>
      </c>
    </row>
    <row r="2466" spans="1:4">
      <c r="A2466" t="s">
        <v>9</v>
      </c>
      <c r="B2466" t="s">
        <v>102</v>
      </c>
      <c r="C2466" s="8">
        <v>46231</v>
      </c>
      <c r="D2466" s="9">
        <v>33942</v>
      </c>
    </row>
    <row r="2467" spans="1:4">
      <c r="A2467" t="s">
        <v>5</v>
      </c>
      <c r="B2467" t="s">
        <v>96</v>
      </c>
      <c r="C2467" s="8">
        <v>46231</v>
      </c>
      <c r="D2467" s="9">
        <v>35145</v>
      </c>
    </row>
    <row r="2468" spans="1:4">
      <c r="A2468" t="s">
        <v>5</v>
      </c>
      <c r="B2468" t="s">
        <v>196</v>
      </c>
      <c r="C2468" s="8">
        <v>46231</v>
      </c>
      <c r="D2468" s="9">
        <v>38534</v>
      </c>
    </row>
    <row r="2469" spans="1:4">
      <c r="A2469" t="s">
        <v>5</v>
      </c>
      <c r="B2469" t="s">
        <v>146</v>
      </c>
      <c r="C2469" s="8">
        <v>46231</v>
      </c>
      <c r="D2469" s="9">
        <v>46012</v>
      </c>
    </row>
    <row r="2470" spans="1:4">
      <c r="A2470" t="s">
        <v>27</v>
      </c>
      <c r="B2470" t="s">
        <v>82</v>
      </c>
      <c r="C2470" s="8">
        <v>46232</v>
      </c>
      <c r="D2470" s="9">
        <v>19325</v>
      </c>
    </row>
    <row r="2471" spans="1:4">
      <c r="A2471" t="s">
        <v>4</v>
      </c>
      <c r="B2471" t="s">
        <v>262</v>
      </c>
      <c r="C2471" s="8">
        <v>46232</v>
      </c>
      <c r="D2471" s="9">
        <v>27686</v>
      </c>
    </row>
    <row r="2472" spans="1:4">
      <c r="A2472" t="s">
        <v>4</v>
      </c>
      <c r="B2472" t="s">
        <v>196</v>
      </c>
      <c r="C2472" s="8">
        <v>46232</v>
      </c>
      <c r="D2472" s="9">
        <v>40833</v>
      </c>
    </row>
    <row r="2473" spans="1:4">
      <c r="A2473" t="s">
        <v>8</v>
      </c>
      <c r="B2473" t="s">
        <v>199</v>
      </c>
      <c r="C2473" s="8">
        <v>46232</v>
      </c>
      <c r="D2473" s="9">
        <v>20473</v>
      </c>
    </row>
    <row r="2474" spans="1:4">
      <c r="A2474" t="s">
        <v>7</v>
      </c>
      <c r="B2474" t="s">
        <v>54</v>
      </c>
      <c r="C2474" s="8">
        <v>46232</v>
      </c>
      <c r="D2474" s="9">
        <v>34698</v>
      </c>
    </row>
    <row r="2475" spans="1:4">
      <c r="A2475" t="s">
        <v>7</v>
      </c>
      <c r="B2475" t="s">
        <v>70</v>
      </c>
      <c r="C2475" s="8">
        <v>46232</v>
      </c>
      <c r="D2475" s="9">
        <v>17206</v>
      </c>
    </row>
    <row r="2476" spans="1:4">
      <c r="A2476" t="s">
        <v>7</v>
      </c>
      <c r="B2476" t="s">
        <v>276</v>
      </c>
      <c r="C2476" s="8">
        <v>46232</v>
      </c>
      <c r="D2476" s="9">
        <v>34464</v>
      </c>
    </row>
    <row r="2477" spans="1:4">
      <c r="A2477" t="s">
        <v>9</v>
      </c>
      <c r="B2477" t="s">
        <v>101</v>
      </c>
      <c r="C2477" s="8">
        <v>46232</v>
      </c>
      <c r="D2477" s="9">
        <v>36820</v>
      </c>
    </row>
    <row r="2478" spans="1:4">
      <c r="A2478" t="s">
        <v>9</v>
      </c>
      <c r="B2478" t="s">
        <v>48</v>
      </c>
      <c r="C2478" s="8">
        <v>46232</v>
      </c>
      <c r="D2478" s="9">
        <v>41594</v>
      </c>
    </row>
    <row r="2479" spans="1:4">
      <c r="A2479" t="s">
        <v>9</v>
      </c>
      <c r="B2479" t="s">
        <v>57</v>
      </c>
      <c r="C2479" s="8">
        <v>46232</v>
      </c>
      <c r="D2479" s="9">
        <v>24942</v>
      </c>
    </row>
    <row r="2480" spans="1:4">
      <c r="A2480" t="s">
        <v>5</v>
      </c>
      <c r="B2480" t="s">
        <v>96</v>
      </c>
      <c r="C2480" s="8">
        <v>46232</v>
      </c>
      <c r="D2480" s="9">
        <v>48378</v>
      </c>
    </row>
    <row r="2481" spans="1:4">
      <c r="A2481" t="s">
        <v>5</v>
      </c>
      <c r="B2481" t="s">
        <v>124</v>
      </c>
      <c r="C2481" s="8">
        <v>46232</v>
      </c>
      <c r="D2481" s="9">
        <v>42549</v>
      </c>
    </row>
    <row r="2482" spans="1:4">
      <c r="A2482" t="s">
        <v>5</v>
      </c>
      <c r="B2482" t="s">
        <v>184</v>
      </c>
      <c r="C2482" s="8">
        <v>46232</v>
      </c>
      <c r="D2482" s="9">
        <v>48149</v>
      </c>
    </row>
    <row r="2483" spans="1:4">
      <c r="A2483" t="s">
        <v>5</v>
      </c>
      <c r="B2483" t="s">
        <v>181</v>
      </c>
      <c r="C2483" s="8">
        <v>46232</v>
      </c>
      <c r="D2483" s="9">
        <v>36886</v>
      </c>
    </row>
    <row r="2484" spans="1:4">
      <c r="A2484" t="s">
        <v>5</v>
      </c>
      <c r="B2484" t="s">
        <v>172</v>
      </c>
      <c r="C2484" s="8">
        <v>46232</v>
      </c>
      <c r="D2484" s="9">
        <v>44930</v>
      </c>
    </row>
    <row r="2485" spans="1:4">
      <c r="A2485" t="s">
        <v>5</v>
      </c>
      <c r="B2485" t="s">
        <v>60</v>
      </c>
      <c r="C2485" s="8">
        <v>46232</v>
      </c>
      <c r="D2485" s="9">
        <v>44891</v>
      </c>
    </row>
    <row r="2486" spans="1:4">
      <c r="A2486" t="s">
        <v>5</v>
      </c>
      <c r="B2486" t="s">
        <v>197</v>
      </c>
      <c r="C2486" s="8">
        <v>46232</v>
      </c>
      <c r="D2486" s="9">
        <v>41165</v>
      </c>
    </row>
    <row r="2487" spans="1:4">
      <c r="A2487" t="s">
        <v>4</v>
      </c>
      <c r="B2487" t="s">
        <v>269</v>
      </c>
      <c r="C2487" s="8">
        <v>46233</v>
      </c>
      <c r="D2487" s="9">
        <v>23543</v>
      </c>
    </row>
    <row r="2488" spans="1:4">
      <c r="A2488" t="s">
        <v>28</v>
      </c>
      <c r="B2488" t="s">
        <v>254</v>
      </c>
      <c r="C2488" s="8">
        <v>46233</v>
      </c>
      <c r="D2488" s="9">
        <v>14489</v>
      </c>
    </row>
    <row r="2489" spans="1:4">
      <c r="A2489" t="s">
        <v>6</v>
      </c>
      <c r="B2489" t="s">
        <v>186</v>
      </c>
      <c r="C2489" s="8">
        <v>46233</v>
      </c>
      <c r="D2489" s="9">
        <v>20426</v>
      </c>
    </row>
    <row r="2490" spans="1:4">
      <c r="A2490" t="s">
        <v>6</v>
      </c>
      <c r="B2490" t="s">
        <v>217</v>
      </c>
      <c r="C2490" s="8">
        <v>46233</v>
      </c>
      <c r="D2490" s="9">
        <v>39633</v>
      </c>
    </row>
    <row r="2491" spans="1:4">
      <c r="A2491" t="s">
        <v>29</v>
      </c>
      <c r="B2491" t="s">
        <v>59</v>
      </c>
      <c r="C2491" s="8">
        <v>46233</v>
      </c>
      <c r="D2491" s="9">
        <v>15422</v>
      </c>
    </row>
    <row r="2492" spans="1:4">
      <c r="A2492" t="s">
        <v>37</v>
      </c>
      <c r="B2492" t="s">
        <v>248</v>
      </c>
      <c r="C2492" s="8">
        <v>46233</v>
      </c>
      <c r="D2492" s="9">
        <v>12880</v>
      </c>
    </row>
    <row r="2493" spans="1:4">
      <c r="A2493" t="s">
        <v>9</v>
      </c>
      <c r="B2493" t="s">
        <v>50</v>
      </c>
      <c r="C2493" s="8">
        <v>46233</v>
      </c>
      <c r="D2493" s="9">
        <v>15928</v>
      </c>
    </row>
    <row r="2494" spans="1:4">
      <c r="A2494" t="s">
        <v>5</v>
      </c>
      <c r="B2494" t="s">
        <v>184</v>
      </c>
      <c r="C2494" s="8">
        <v>46233</v>
      </c>
      <c r="D2494" s="9">
        <v>47677</v>
      </c>
    </row>
    <row r="2495" spans="1:4">
      <c r="A2495" t="s">
        <v>5</v>
      </c>
      <c r="B2495" t="s">
        <v>132</v>
      </c>
      <c r="C2495" s="8">
        <v>46233</v>
      </c>
      <c r="D2495" s="9">
        <v>26088</v>
      </c>
    </row>
    <row r="2496" spans="1:4">
      <c r="A2496" t="s">
        <v>5</v>
      </c>
      <c r="B2496" t="s">
        <v>182</v>
      </c>
      <c r="C2496" s="8">
        <v>46233</v>
      </c>
      <c r="D2496" s="9">
        <v>41598</v>
      </c>
    </row>
    <row r="2497" spans="1:4">
      <c r="A2497" t="s">
        <v>5</v>
      </c>
      <c r="B2497" t="s">
        <v>158</v>
      </c>
      <c r="C2497" s="8">
        <v>46233</v>
      </c>
      <c r="D2497" s="9">
        <v>34466</v>
      </c>
    </row>
    <row r="2498" spans="1:4">
      <c r="A2498" t="s">
        <v>5</v>
      </c>
      <c r="B2498" t="s">
        <v>81</v>
      </c>
      <c r="C2498" s="8">
        <v>46233</v>
      </c>
      <c r="D2498" s="9">
        <v>43750</v>
      </c>
    </row>
    <row r="2499" spans="1:4">
      <c r="A2499" t="s">
        <v>5</v>
      </c>
      <c r="B2499" t="s">
        <v>197</v>
      </c>
      <c r="C2499" s="8">
        <v>46233</v>
      </c>
      <c r="D2499" s="9">
        <v>40783</v>
      </c>
    </row>
    <row r="2500" spans="1:4">
      <c r="A2500" t="s">
        <v>5</v>
      </c>
      <c r="B2500" t="s">
        <v>53</v>
      </c>
      <c r="C2500" s="8">
        <v>46233</v>
      </c>
      <c r="D2500" s="9">
        <v>48023</v>
      </c>
    </row>
    <row r="2501" spans="1:4">
      <c r="A2501" t="s">
        <v>28</v>
      </c>
      <c r="B2501" t="s">
        <v>222</v>
      </c>
      <c r="C2501" s="8">
        <v>46234</v>
      </c>
      <c r="D2501" s="9">
        <v>16562</v>
      </c>
    </row>
    <row r="2502" spans="1:4">
      <c r="A2502" t="s">
        <v>26</v>
      </c>
      <c r="B2502" t="s">
        <v>252</v>
      </c>
      <c r="C2502" s="8">
        <v>46234</v>
      </c>
      <c r="D2502" s="9">
        <v>5863</v>
      </c>
    </row>
    <row r="2503" spans="1:4">
      <c r="A2503" t="s">
        <v>8</v>
      </c>
      <c r="B2503" t="s">
        <v>122</v>
      </c>
      <c r="C2503" s="8">
        <v>46234</v>
      </c>
      <c r="D2503" s="9">
        <v>24323</v>
      </c>
    </row>
    <row r="2504" spans="1:4">
      <c r="A2504" t="s">
        <v>29</v>
      </c>
      <c r="B2504" t="s">
        <v>165</v>
      </c>
      <c r="C2504" s="8">
        <v>46234</v>
      </c>
      <c r="D2504" s="9">
        <v>12337</v>
      </c>
    </row>
    <row r="2505" spans="1:4">
      <c r="A2505" t="s">
        <v>5</v>
      </c>
      <c r="B2505" t="s">
        <v>96</v>
      </c>
      <c r="C2505" s="8">
        <v>46234</v>
      </c>
      <c r="D2505" s="9">
        <v>31735</v>
      </c>
    </row>
    <row r="2506" spans="1:4">
      <c r="A2506" t="s">
        <v>5</v>
      </c>
      <c r="B2506" t="s">
        <v>206</v>
      </c>
      <c r="C2506" s="8">
        <v>46234</v>
      </c>
      <c r="D2506" s="9">
        <v>47426</v>
      </c>
    </row>
    <row r="2507" spans="1:4">
      <c r="A2507" t="s">
        <v>5</v>
      </c>
      <c r="B2507" t="s">
        <v>158</v>
      </c>
      <c r="C2507" s="8">
        <v>46234</v>
      </c>
      <c r="D2507" s="9">
        <v>23444</v>
      </c>
    </row>
    <row r="2508" spans="1:4">
      <c r="A2508" t="s">
        <v>5</v>
      </c>
      <c r="B2508" t="s">
        <v>95</v>
      </c>
      <c r="C2508" s="8">
        <v>46234</v>
      </c>
      <c r="D2508" s="9">
        <v>35421</v>
      </c>
    </row>
    <row r="2509" spans="1:4">
      <c r="A2509" t="s">
        <v>5</v>
      </c>
      <c r="B2509" t="s">
        <v>159</v>
      </c>
      <c r="C2509" s="8">
        <v>46234</v>
      </c>
      <c r="D2509" s="9">
        <v>29166</v>
      </c>
    </row>
    <row r="2510" spans="1:4">
      <c r="A2510" t="s">
        <v>27</v>
      </c>
      <c r="B2510" t="s">
        <v>265</v>
      </c>
      <c r="C2510" s="8">
        <v>46235</v>
      </c>
      <c r="D2510" s="9">
        <v>16166</v>
      </c>
    </row>
    <row r="2511" spans="1:4">
      <c r="A2511" t="s">
        <v>4</v>
      </c>
      <c r="B2511" t="s">
        <v>147</v>
      </c>
      <c r="C2511" s="8">
        <v>46235</v>
      </c>
      <c r="D2511" s="9">
        <v>24214</v>
      </c>
    </row>
    <row r="2512" spans="1:4">
      <c r="A2512" t="s">
        <v>25</v>
      </c>
      <c r="B2512" t="s">
        <v>127</v>
      </c>
      <c r="C2512" s="8">
        <v>46235</v>
      </c>
      <c r="D2512" s="9">
        <v>5200</v>
      </c>
    </row>
    <row r="2513" spans="1:4">
      <c r="A2513" t="s">
        <v>33</v>
      </c>
      <c r="B2513" t="s">
        <v>253</v>
      </c>
      <c r="C2513" s="8">
        <v>46235</v>
      </c>
      <c r="D2513" s="9">
        <v>14956</v>
      </c>
    </row>
    <row r="2514" spans="1:4">
      <c r="A2514" t="s">
        <v>29</v>
      </c>
      <c r="B2514" t="s">
        <v>226</v>
      </c>
      <c r="C2514" s="8">
        <v>46235</v>
      </c>
      <c r="D2514" s="9">
        <v>18297</v>
      </c>
    </row>
    <row r="2515" spans="1:4">
      <c r="A2515" t="s">
        <v>7</v>
      </c>
      <c r="B2515" t="s">
        <v>268</v>
      </c>
      <c r="C2515" s="8">
        <v>46235</v>
      </c>
      <c r="D2515" s="9">
        <v>35001</v>
      </c>
    </row>
    <row r="2516" spans="1:4">
      <c r="A2516" t="s">
        <v>9</v>
      </c>
      <c r="B2516" t="s">
        <v>269</v>
      </c>
      <c r="C2516" s="8">
        <v>46235</v>
      </c>
      <c r="D2516" s="9">
        <v>26237</v>
      </c>
    </row>
    <row r="2517" spans="1:4">
      <c r="A2517" t="s">
        <v>9</v>
      </c>
      <c r="B2517" t="s">
        <v>208</v>
      </c>
      <c r="C2517" s="8">
        <v>46235</v>
      </c>
      <c r="D2517" s="9">
        <v>35189</v>
      </c>
    </row>
    <row r="2518" spans="1:4">
      <c r="A2518" t="s">
        <v>9</v>
      </c>
      <c r="B2518" t="s">
        <v>50</v>
      </c>
      <c r="C2518" s="8">
        <v>46235</v>
      </c>
      <c r="D2518" s="9">
        <v>30510</v>
      </c>
    </row>
    <row r="2519" spans="1:4">
      <c r="A2519" t="s">
        <v>9</v>
      </c>
      <c r="B2519" t="s">
        <v>129</v>
      </c>
      <c r="C2519" s="8">
        <v>46235</v>
      </c>
      <c r="D2519" s="9">
        <v>37046</v>
      </c>
    </row>
    <row r="2520" spans="1:4">
      <c r="A2520" t="s">
        <v>9</v>
      </c>
      <c r="B2520" t="s">
        <v>136</v>
      </c>
      <c r="C2520" s="8">
        <v>46235</v>
      </c>
      <c r="D2520" s="9">
        <v>29525</v>
      </c>
    </row>
    <row r="2521" spans="1:4">
      <c r="A2521" t="s">
        <v>5</v>
      </c>
      <c r="B2521" t="s">
        <v>81</v>
      </c>
      <c r="C2521" s="8">
        <v>46235</v>
      </c>
      <c r="D2521" s="9">
        <v>38874</v>
      </c>
    </row>
    <row r="2522" spans="1:4">
      <c r="A2522" t="s">
        <v>5</v>
      </c>
      <c r="B2522" t="s">
        <v>242</v>
      </c>
      <c r="C2522" s="8">
        <v>46235</v>
      </c>
      <c r="D2522" s="9">
        <v>30026</v>
      </c>
    </row>
    <row r="2523" spans="1:4">
      <c r="A2523" t="s">
        <v>5</v>
      </c>
      <c r="B2523" t="s">
        <v>243</v>
      </c>
      <c r="C2523" s="8">
        <v>46235</v>
      </c>
      <c r="D2523" s="9">
        <v>51246</v>
      </c>
    </row>
    <row r="2524" spans="1:4">
      <c r="A2524" t="s">
        <v>5</v>
      </c>
      <c r="B2524" t="s">
        <v>118</v>
      </c>
      <c r="C2524" s="8">
        <v>46235</v>
      </c>
      <c r="D2524" s="9">
        <v>35282</v>
      </c>
    </row>
    <row r="2525" spans="1:4">
      <c r="A2525" t="s">
        <v>31</v>
      </c>
      <c r="B2525" t="s">
        <v>107</v>
      </c>
      <c r="C2525" s="8">
        <v>46236</v>
      </c>
      <c r="D2525" s="9">
        <v>5200</v>
      </c>
    </row>
    <row r="2526" spans="1:4">
      <c r="A2526" t="s">
        <v>31</v>
      </c>
      <c r="B2526" t="s">
        <v>255</v>
      </c>
      <c r="C2526" s="8">
        <v>46236</v>
      </c>
      <c r="D2526" s="9">
        <v>27270</v>
      </c>
    </row>
    <row r="2527" spans="1:4">
      <c r="A2527" t="s">
        <v>26</v>
      </c>
      <c r="B2527" t="s">
        <v>223</v>
      </c>
      <c r="C2527" s="8">
        <v>46236</v>
      </c>
      <c r="D2527" s="9">
        <v>13051</v>
      </c>
    </row>
    <row r="2528" spans="1:4">
      <c r="A2528" t="s">
        <v>7</v>
      </c>
      <c r="B2528" t="s">
        <v>257</v>
      </c>
      <c r="C2528" s="8">
        <v>46236</v>
      </c>
      <c r="D2528" s="9">
        <v>36158</v>
      </c>
    </row>
    <row r="2529" spans="1:4">
      <c r="A2529" t="s">
        <v>7</v>
      </c>
      <c r="B2529" t="s">
        <v>204</v>
      </c>
      <c r="C2529" s="8">
        <v>46236</v>
      </c>
      <c r="D2529" s="9">
        <v>26662</v>
      </c>
    </row>
    <row r="2530" spans="1:4">
      <c r="A2530" t="s">
        <v>7</v>
      </c>
      <c r="B2530" t="s">
        <v>283</v>
      </c>
      <c r="C2530" s="8">
        <v>46236</v>
      </c>
      <c r="D2530" s="9">
        <v>30263</v>
      </c>
    </row>
    <row r="2531" spans="1:4">
      <c r="A2531" t="s">
        <v>7</v>
      </c>
      <c r="B2531" t="s">
        <v>135</v>
      </c>
      <c r="C2531" s="8">
        <v>46236</v>
      </c>
      <c r="D2531" s="9">
        <v>34655</v>
      </c>
    </row>
    <row r="2532" spans="1:4">
      <c r="A2532" t="s">
        <v>9</v>
      </c>
      <c r="B2532" t="s">
        <v>78</v>
      </c>
      <c r="C2532" s="8">
        <v>46236</v>
      </c>
      <c r="D2532" s="9">
        <v>40491</v>
      </c>
    </row>
    <row r="2533" spans="1:4">
      <c r="A2533" t="s">
        <v>9</v>
      </c>
      <c r="B2533" t="s">
        <v>102</v>
      </c>
      <c r="C2533" s="8">
        <v>46236</v>
      </c>
      <c r="D2533" s="9">
        <v>43734</v>
      </c>
    </row>
    <row r="2534" spans="1:4">
      <c r="A2534" t="s">
        <v>9</v>
      </c>
      <c r="B2534" t="s">
        <v>260</v>
      </c>
      <c r="C2534" s="8">
        <v>46236</v>
      </c>
      <c r="D2534" s="9">
        <v>21498</v>
      </c>
    </row>
    <row r="2535" spans="1:4">
      <c r="A2535" t="s">
        <v>5</v>
      </c>
      <c r="B2535" t="s">
        <v>181</v>
      </c>
      <c r="C2535" s="8">
        <v>46236</v>
      </c>
      <c r="D2535" s="9">
        <v>44058</v>
      </c>
    </row>
    <row r="2536" spans="1:4">
      <c r="A2536" t="s">
        <v>5</v>
      </c>
      <c r="B2536" t="s">
        <v>182</v>
      </c>
      <c r="C2536" s="8">
        <v>46236</v>
      </c>
      <c r="D2536" s="9">
        <v>39149</v>
      </c>
    </row>
    <row r="2537" spans="1:4">
      <c r="A2537" t="s">
        <v>5</v>
      </c>
      <c r="B2537" t="s">
        <v>168</v>
      </c>
      <c r="C2537" s="8">
        <v>46236</v>
      </c>
      <c r="D2537" s="9">
        <v>43168</v>
      </c>
    </row>
    <row r="2538" spans="1:4">
      <c r="A2538" t="s">
        <v>5</v>
      </c>
      <c r="B2538" t="s">
        <v>174</v>
      </c>
      <c r="C2538" s="8">
        <v>46236</v>
      </c>
      <c r="D2538" s="9">
        <v>38050</v>
      </c>
    </row>
    <row r="2539" spans="1:4">
      <c r="A2539" t="s">
        <v>28</v>
      </c>
      <c r="B2539" t="s">
        <v>254</v>
      </c>
      <c r="C2539" s="8">
        <v>46237</v>
      </c>
      <c r="D2539" s="9">
        <v>15099</v>
      </c>
    </row>
    <row r="2540" spans="1:4">
      <c r="A2540" t="s">
        <v>32</v>
      </c>
      <c r="B2540" t="s">
        <v>87</v>
      </c>
      <c r="C2540" s="8">
        <v>46237</v>
      </c>
      <c r="D2540" s="9">
        <v>14107</v>
      </c>
    </row>
    <row r="2541" spans="1:4">
      <c r="A2541" t="s">
        <v>6</v>
      </c>
      <c r="B2541" t="s">
        <v>194</v>
      </c>
      <c r="C2541" s="8">
        <v>46237</v>
      </c>
      <c r="D2541" s="9">
        <v>18896</v>
      </c>
    </row>
    <row r="2542" spans="1:4">
      <c r="A2542" t="s">
        <v>29</v>
      </c>
      <c r="B2542" t="s">
        <v>59</v>
      </c>
      <c r="C2542" s="8">
        <v>46237</v>
      </c>
      <c r="D2542" s="9">
        <v>16309</v>
      </c>
    </row>
    <row r="2543" spans="1:4">
      <c r="A2543" t="s">
        <v>9</v>
      </c>
      <c r="B2543" t="s">
        <v>269</v>
      </c>
      <c r="C2543" s="8">
        <v>46237</v>
      </c>
      <c r="D2543" s="9">
        <v>26972</v>
      </c>
    </row>
    <row r="2544" spans="1:4">
      <c r="A2544" t="s">
        <v>9</v>
      </c>
      <c r="B2544" t="s">
        <v>145</v>
      </c>
      <c r="C2544" s="8">
        <v>46237</v>
      </c>
      <c r="D2544" s="9">
        <v>24008</v>
      </c>
    </row>
    <row r="2545" spans="1:4">
      <c r="A2545" t="s">
        <v>5</v>
      </c>
      <c r="B2545" t="s">
        <v>96</v>
      </c>
      <c r="C2545" s="8">
        <v>46237</v>
      </c>
      <c r="D2545" s="9">
        <v>27664</v>
      </c>
    </row>
    <row r="2546" spans="1:4">
      <c r="A2546" t="s">
        <v>5</v>
      </c>
      <c r="B2546" t="s">
        <v>110</v>
      </c>
      <c r="C2546" s="8">
        <v>46237</v>
      </c>
      <c r="D2546" s="9">
        <v>42637</v>
      </c>
    </row>
    <row r="2547" spans="1:4">
      <c r="A2547" t="s">
        <v>5</v>
      </c>
      <c r="B2547" t="s">
        <v>196</v>
      </c>
      <c r="C2547" s="8">
        <v>46237</v>
      </c>
      <c r="D2547" s="9">
        <v>31227</v>
      </c>
    </row>
    <row r="2548" spans="1:4">
      <c r="A2548" t="s">
        <v>5</v>
      </c>
      <c r="B2548" t="s">
        <v>188</v>
      </c>
      <c r="C2548" s="8">
        <v>46237</v>
      </c>
      <c r="D2548" s="9">
        <v>49447</v>
      </c>
    </row>
    <row r="2549" spans="1:4">
      <c r="A2549" t="s">
        <v>27</v>
      </c>
      <c r="B2549" t="s">
        <v>160</v>
      </c>
      <c r="C2549" s="8">
        <v>46238</v>
      </c>
      <c r="D2549" s="9">
        <v>16560</v>
      </c>
    </row>
    <row r="2550" spans="1:4">
      <c r="A2550" t="s">
        <v>4</v>
      </c>
      <c r="B2550" t="s">
        <v>116</v>
      </c>
      <c r="C2550" s="8">
        <v>46238</v>
      </c>
      <c r="D2550" s="9">
        <v>23772</v>
      </c>
    </row>
    <row r="2551" spans="1:4">
      <c r="A2551" t="s">
        <v>4</v>
      </c>
      <c r="B2551" t="s">
        <v>280</v>
      </c>
      <c r="C2551" s="8">
        <v>46238</v>
      </c>
      <c r="D2551" s="9">
        <v>41972</v>
      </c>
    </row>
    <row r="2552" spans="1:4">
      <c r="A2552" t="s">
        <v>6</v>
      </c>
      <c r="B2552" t="s">
        <v>74</v>
      </c>
      <c r="C2552" s="8">
        <v>46238</v>
      </c>
      <c r="D2552" s="9">
        <v>6328</v>
      </c>
    </row>
    <row r="2553" spans="1:4">
      <c r="A2553" t="s">
        <v>29</v>
      </c>
      <c r="B2553" t="s">
        <v>149</v>
      </c>
      <c r="C2553" s="8">
        <v>46238</v>
      </c>
      <c r="D2553" s="9">
        <v>9811</v>
      </c>
    </row>
    <row r="2554" spans="1:4">
      <c r="A2554" t="s">
        <v>9</v>
      </c>
      <c r="B2554" t="s">
        <v>277</v>
      </c>
      <c r="C2554" s="8">
        <v>46238</v>
      </c>
      <c r="D2554" s="9">
        <v>36758</v>
      </c>
    </row>
    <row r="2555" spans="1:4">
      <c r="A2555" t="s">
        <v>9</v>
      </c>
      <c r="B2555" t="s">
        <v>150</v>
      </c>
      <c r="C2555" s="8">
        <v>46238</v>
      </c>
      <c r="D2555" s="9">
        <v>22700</v>
      </c>
    </row>
    <row r="2556" spans="1:4">
      <c r="A2556" t="s">
        <v>5</v>
      </c>
      <c r="B2556" t="s">
        <v>139</v>
      </c>
      <c r="C2556" s="8">
        <v>46238</v>
      </c>
      <c r="D2556" s="9">
        <v>49491</v>
      </c>
    </row>
    <row r="2557" spans="1:4">
      <c r="A2557" t="s">
        <v>5</v>
      </c>
      <c r="B2557" t="s">
        <v>53</v>
      </c>
      <c r="C2557" s="8">
        <v>46238</v>
      </c>
      <c r="D2557" s="9">
        <v>48096</v>
      </c>
    </row>
    <row r="2558" spans="1:4">
      <c r="A2558" t="s">
        <v>5</v>
      </c>
      <c r="B2558" t="s">
        <v>174</v>
      </c>
      <c r="C2558" s="8">
        <v>46238</v>
      </c>
      <c r="D2558" s="9">
        <v>48962</v>
      </c>
    </row>
    <row r="2559" spans="1:4">
      <c r="A2559" t="s">
        <v>35</v>
      </c>
      <c r="B2559" t="s">
        <v>58</v>
      </c>
      <c r="C2559" s="8">
        <v>46239</v>
      </c>
      <c r="D2559" s="9">
        <v>17070</v>
      </c>
    </row>
    <row r="2560" spans="1:4">
      <c r="A2560" t="s">
        <v>4</v>
      </c>
      <c r="B2560" t="s">
        <v>116</v>
      </c>
      <c r="C2560" s="8">
        <v>46239</v>
      </c>
      <c r="D2560" s="9">
        <v>26152</v>
      </c>
    </row>
    <row r="2561" spans="1:4">
      <c r="A2561" t="s">
        <v>25</v>
      </c>
      <c r="B2561" t="s">
        <v>162</v>
      </c>
      <c r="C2561" s="8">
        <v>46239</v>
      </c>
      <c r="D2561" s="9">
        <v>21849</v>
      </c>
    </row>
    <row r="2562" spans="1:4">
      <c r="A2562" t="s">
        <v>8</v>
      </c>
      <c r="B2562" t="s">
        <v>219</v>
      </c>
      <c r="C2562" s="8">
        <v>46239</v>
      </c>
      <c r="D2562" s="9">
        <v>13860</v>
      </c>
    </row>
    <row r="2563" spans="1:4">
      <c r="A2563" t="s">
        <v>8</v>
      </c>
      <c r="B2563" t="s">
        <v>86</v>
      </c>
      <c r="C2563" s="8">
        <v>46239</v>
      </c>
      <c r="D2563" s="9">
        <v>20140</v>
      </c>
    </row>
    <row r="2564" spans="1:4">
      <c r="A2564" t="s">
        <v>7</v>
      </c>
      <c r="B2564" t="s">
        <v>235</v>
      </c>
      <c r="C2564" s="8">
        <v>46239</v>
      </c>
      <c r="D2564" s="9">
        <v>22754</v>
      </c>
    </row>
    <row r="2565" spans="1:4">
      <c r="A2565" t="s">
        <v>7</v>
      </c>
      <c r="B2565" t="s">
        <v>236</v>
      </c>
      <c r="C2565" s="8">
        <v>46239</v>
      </c>
      <c r="D2565" s="9">
        <v>6086</v>
      </c>
    </row>
    <row r="2566" spans="1:4">
      <c r="A2566" t="s">
        <v>9</v>
      </c>
      <c r="B2566" t="s">
        <v>101</v>
      </c>
      <c r="C2566" s="8">
        <v>46239</v>
      </c>
      <c r="D2566" s="9">
        <v>25559</v>
      </c>
    </row>
    <row r="2567" spans="1:4">
      <c r="A2567" t="s">
        <v>9</v>
      </c>
      <c r="B2567" t="s">
        <v>130</v>
      </c>
      <c r="C2567" s="8">
        <v>46239</v>
      </c>
      <c r="D2567" s="9">
        <v>40224</v>
      </c>
    </row>
    <row r="2568" spans="1:4">
      <c r="A2568" t="s">
        <v>9</v>
      </c>
      <c r="B2568" t="s">
        <v>102</v>
      </c>
      <c r="C2568" s="8">
        <v>46239</v>
      </c>
      <c r="D2568" s="9">
        <v>43285</v>
      </c>
    </row>
    <row r="2569" spans="1:4">
      <c r="A2569" t="s">
        <v>5</v>
      </c>
      <c r="B2569" t="s">
        <v>209</v>
      </c>
      <c r="C2569" s="8">
        <v>46239</v>
      </c>
      <c r="D2569" s="9">
        <v>33663</v>
      </c>
    </row>
    <row r="2570" spans="1:4">
      <c r="A2570" t="s">
        <v>5</v>
      </c>
      <c r="B2570" t="s">
        <v>242</v>
      </c>
      <c r="C2570" s="8">
        <v>46239</v>
      </c>
      <c r="D2570" s="9">
        <v>31246</v>
      </c>
    </row>
    <row r="2571" spans="1:4">
      <c r="A2571" t="s">
        <v>5</v>
      </c>
      <c r="B2571" t="s">
        <v>60</v>
      </c>
      <c r="C2571" s="8">
        <v>46239</v>
      </c>
      <c r="D2571" s="9">
        <v>43974</v>
      </c>
    </row>
    <row r="2572" spans="1:4">
      <c r="A2572" t="s">
        <v>5</v>
      </c>
      <c r="B2572" t="s">
        <v>60</v>
      </c>
      <c r="C2572" s="8">
        <v>46239</v>
      </c>
      <c r="D2572" s="9">
        <v>58414</v>
      </c>
    </row>
    <row r="2573" spans="1:4">
      <c r="A2573" t="s">
        <v>5</v>
      </c>
      <c r="B2573" t="s">
        <v>159</v>
      </c>
      <c r="C2573" s="8">
        <v>46239</v>
      </c>
      <c r="D2573" s="9">
        <v>35072</v>
      </c>
    </row>
    <row r="2574" spans="1:4">
      <c r="A2574" t="s">
        <v>5</v>
      </c>
      <c r="B2574" t="s">
        <v>205</v>
      </c>
      <c r="C2574" s="8">
        <v>46239</v>
      </c>
      <c r="D2574" s="9">
        <v>38382</v>
      </c>
    </row>
    <row r="2575" spans="1:4">
      <c r="A2575" t="s">
        <v>25</v>
      </c>
      <c r="B2575" t="s">
        <v>153</v>
      </c>
      <c r="C2575" s="8">
        <v>46240</v>
      </c>
      <c r="D2575" s="9">
        <v>13610</v>
      </c>
    </row>
    <row r="2576" spans="1:4">
      <c r="A2576" t="s">
        <v>30</v>
      </c>
      <c r="B2576" t="s">
        <v>111</v>
      </c>
      <c r="C2576" s="8">
        <v>46240</v>
      </c>
      <c r="D2576" s="9">
        <v>12538</v>
      </c>
    </row>
    <row r="2577" spans="1:4">
      <c r="A2577" t="s">
        <v>8</v>
      </c>
      <c r="B2577" t="s">
        <v>98</v>
      </c>
      <c r="C2577" s="8">
        <v>46240</v>
      </c>
      <c r="D2577" s="9">
        <v>16308</v>
      </c>
    </row>
    <row r="2578" spans="1:4">
      <c r="A2578" t="s">
        <v>32</v>
      </c>
      <c r="B2578" t="s">
        <v>128</v>
      </c>
      <c r="C2578" s="8">
        <v>46240</v>
      </c>
      <c r="D2578" s="9">
        <v>12718</v>
      </c>
    </row>
    <row r="2579" spans="1:4">
      <c r="A2579" t="s">
        <v>7</v>
      </c>
      <c r="B2579" t="s">
        <v>267</v>
      </c>
      <c r="C2579" s="8">
        <v>46240</v>
      </c>
      <c r="D2579" s="9">
        <v>26636</v>
      </c>
    </row>
    <row r="2580" spans="1:4">
      <c r="A2580" t="s">
        <v>9</v>
      </c>
      <c r="B2580" t="s">
        <v>129</v>
      </c>
      <c r="C2580" s="8">
        <v>46240</v>
      </c>
      <c r="D2580" s="9">
        <v>32667</v>
      </c>
    </row>
    <row r="2581" spans="1:4">
      <c r="A2581" t="s">
        <v>9</v>
      </c>
      <c r="B2581" t="s">
        <v>173</v>
      </c>
      <c r="C2581" s="8">
        <v>46240</v>
      </c>
      <c r="D2581" s="9">
        <v>24100</v>
      </c>
    </row>
    <row r="2582" spans="1:4">
      <c r="A2582" t="s">
        <v>5</v>
      </c>
      <c r="B2582" t="s">
        <v>124</v>
      </c>
      <c r="C2582" s="8">
        <v>46240</v>
      </c>
      <c r="D2582" s="9">
        <v>46422</v>
      </c>
    </row>
    <row r="2583" spans="1:4">
      <c r="A2583" t="s">
        <v>5</v>
      </c>
      <c r="B2583" t="s">
        <v>190</v>
      </c>
      <c r="C2583" s="8">
        <v>46240</v>
      </c>
      <c r="D2583" s="9">
        <v>28584</v>
      </c>
    </row>
    <row r="2584" spans="1:4">
      <c r="A2584" t="s">
        <v>5</v>
      </c>
      <c r="B2584" t="s">
        <v>168</v>
      </c>
      <c r="C2584" s="8">
        <v>46240</v>
      </c>
      <c r="D2584" s="9">
        <v>39781</v>
      </c>
    </row>
    <row r="2585" spans="1:4">
      <c r="A2585" t="s">
        <v>5</v>
      </c>
      <c r="B2585" t="s">
        <v>205</v>
      </c>
      <c r="C2585" s="8">
        <v>46240</v>
      </c>
      <c r="D2585" s="9">
        <v>46275</v>
      </c>
    </row>
    <row r="2586" spans="1:4">
      <c r="A2586" t="s">
        <v>25</v>
      </c>
      <c r="B2586" t="s">
        <v>142</v>
      </c>
      <c r="C2586" s="8">
        <v>46241</v>
      </c>
      <c r="D2586" s="9">
        <v>29167</v>
      </c>
    </row>
    <row r="2587" spans="1:4">
      <c r="A2587" t="s">
        <v>28</v>
      </c>
      <c r="B2587" t="s">
        <v>154</v>
      </c>
      <c r="C2587" s="8">
        <v>46241</v>
      </c>
      <c r="D2587" s="9">
        <v>14337</v>
      </c>
    </row>
    <row r="2588" spans="1:4">
      <c r="A2588" t="s">
        <v>9</v>
      </c>
      <c r="B2588" t="s">
        <v>130</v>
      </c>
      <c r="C2588" s="8">
        <v>46241</v>
      </c>
      <c r="D2588" s="9">
        <v>49696</v>
      </c>
    </row>
    <row r="2589" spans="1:4">
      <c r="A2589" t="s">
        <v>5</v>
      </c>
      <c r="B2589" t="s">
        <v>196</v>
      </c>
      <c r="C2589" s="8">
        <v>46241</v>
      </c>
      <c r="D2589" s="9">
        <v>45396</v>
      </c>
    </row>
    <row r="2590" spans="1:4">
      <c r="A2590" t="s">
        <v>5</v>
      </c>
      <c r="B2590" t="s">
        <v>202</v>
      </c>
      <c r="C2590" s="8">
        <v>46241</v>
      </c>
      <c r="D2590" s="9">
        <v>43774</v>
      </c>
    </row>
    <row r="2591" spans="1:4">
      <c r="A2591" t="s">
        <v>5</v>
      </c>
      <c r="B2591" t="s">
        <v>95</v>
      </c>
      <c r="C2591" s="8">
        <v>46241</v>
      </c>
      <c r="D2591" s="9">
        <v>30828</v>
      </c>
    </row>
    <row r="2592" spans="1:4">
      <c r="A2592" t="s">
        <v>5</v>
      </c>
      <c r="B2592" t="s">
        <v>53</v>
      </c>
      <c r="C2592" s="8">
        <v>46241</v>
      </c>
      <c r="D2592" s="9">
        <v>39949</v>
      </c>
    </row>
    <row r="2593" spans="1:4">
      <c r="A2593" t="s">
        <v>4</v>
      </c>
      <c r="B2593" t="s">
        <v>94</v>
      </c>
      <c r="C2593" s="8">
        <v>46242</v>
      </c>
      <c r="D2593" s="9">
        <v>43870</v>
      </c>
    </row>
    <row r="2594" spans="1:4">
      <c r="A2594" t="s">
        <v>30</v>
      </c>
      <c r="B2594" t="s">
        <v>157</v>
      </c>
      <c r="C2594" s="8">
        <v>46242</v>
      </c>
      <c r="D2594" s="9">
        <v>15791</v>
      </c>
    </row>
    <row r="2595" spans="1:4">
      <c r="A2595" t="s">
        <v>8</v>
      </c>
      <c r="B2595" t="s">
        <v>203</v>
      </c>
      <c r="C2595" s="8">
        <v>46242</v>
      </c>
      <c r="D2595" s="9">
        <v>22749</v>
      </c>
    </row>
    <row r="2596" spans="1:4">
      <c r="A2596" t="s">
        <v>6</v>
      </c>
      <c r="B2596" t="s">
        <v>220</v>
      </c>
      <c r="C2596" s="8">
        <v>46242</v>
      </c>
      <c r="D2596" s="9">
        <v>24713</v>
      </c>
    </row>
    <row r="2597" spans="1:4">
      <c r="A2597" t="s">
        <v>7</v>
      </c>
      <c r="B2597" t="s">
        <v>70</v>
      </c>
      <c r="C2597" s="8">
        <v>46242</v>
      </c>
      <c r="D2597" s="9">
        <v>18472</v>
      </c>
    </row>
    <row r="2598" spans="1:4">
      <c r="A2598" t="s">
        <v>7</v>
      </c>
      <c r="B2598" t="s">
        <v>90</v>
      </c>
      <c r="C2598" s="8">
        <v>46242</v>
      </c>
      <c r="D2598" s="9">
        <v>12682</v>
      </c>
    </row>
    <row r="2599" spans="1:4">
      <c r="A2599" t="s">
        <v>7</v>
      </c>
      <c r="B2599" t="s">
        <v>77</v>
      </c>
      <c r="C2599" s="8">
        <v>46242</v>
      </c>
      <c r="D2599" s="9">
        <v>28142</v>
      </c>
    </row>
    <row r="2600" spans="1:4">
      <c r="A2600" t="s">
        <v>9</v>
      </c>
      <c r="B2600" t="s">
        <v>227</v>
      </c>
      <c r="C2600" s="8">
        <v>46242</v>
      </c>
      <c r="D2600" s="9">
        <v>30031</v>
      </c>
    </row>
    <row r="2601" spans="1:4">
      <c r="A2601" t="s">
        <v>9</v>
      </c>
      <c r="B2601" t="s">
        <v>190</v>
      </c>
      <c r="C2601" s="8">
        <v>46242</v>
      </c>
      <c r="D2601" s="9">
        <v>28978</v>
      </c>
    </row>
    <row r="2602" spans="1:4">
      <c r="A2602" t="s">
        <v>5</v>
      </c>
      <c r="B2602" t="s">
        <v>146</v>
      </c>
      <c r="C2602" s="8">
        <v>46242</v>
      </c>
      <c r="D2602" s="9">
        <v>47511</v>
      </c>
    </row>
    <row r="2603" spans="1:4">
      <c r="A2603" t="s">
        <v>35</v>
      </c>
      <c r="B2603" t="s">
        <v>273</v>
      </c>
      <c r="C2603" s="8">
        <v>46243</v>
      </c>
      <c r="D2603" s="9">
        <v>13153</v>
      </c>
    </row>
    <row r="2604" spans="1:4">
      <c r="A2604" t="s">
        <v>4</v>
      </c>
      <c r="B2604" t="s">
        <v>271</v>
      </c>
      <c r="C2604" s="8">
        <v>46243</v>
      </c>
      <c r="D2604" s="9">
        <v>7027</v>
      </c>
    </row>
    <row r="2605" spans="1:4">
      <c r="A2605" t="s">
        <v>25</v>
      </c>
      <c r="B2605" t="s">
        <v>270</v>
      </c>
      <c r="C2605" s="8">
        <v>46243</v>
      </c>
      <c r="D2605" s="9">
        <v>16498</v>
      </c>
    </row>
    <row r="2606" spans="1:4">
      <c r="A2606" t="s">
        <v>25</v>
      </c>
      <c r="B2606" t="s">
        <v>211</v>
      </c>
      <c r="C2606" s="8">
        <v>46243</v>
      </c>
      <c r="D2606" s="9">
        <v>16682</v>
      </c>
    </row>
    <row r="2607" spans="1:4">
      <c r="A2607" t="s">
        <v>26</v>
      </c>
      <c r="B2607" t="s">
        <v>245</v>
      </c>
      <c r="C2607" s="8">
        <v>46243</v>
      </c>
      <c r="D2607" s="9">
        <v>18076</v>
      </c>
    </row>
    <row r="2608" spans="1:4">
      <c r="A2608" t="s">
        <v>8</v>
      </c>
      <c r="B2608" t="s">
        <v>256</v>
      </c>
      <c r="C2608" s="8">
        <v>46243</v>
      </c>
      <c r="D2608" s="9">
        <v>17420</v>
      </c>
    </row>
    <row r="2609" spans="1:4">
      <c r="A2609" t="s">
        <v>6</v>
      </c>
      <c r="B2609" t="s">
        <v>123</v>
      </c>
      <c r="C2609" s="8">
        <v>46243</v>
      </c>
      <c r="D2609" s="9">
        <v>22619</v>
      </c>
    </row>
    <row r="2610" spans="1:4">
      <c r="A2610" t="s">
        <v>6</v>
      </c>
      <c r="B2610" t="s">
        <v>247</v>
      </c>
      <c r="C2610" s="8">
        <v>46243</v>
      </c>
      <c r="D2610" s="9">
        <v>25249</v>
      </c>
    </row>
    <row r="2611" spans="1:4">
      <c r="A2611" t="s">
        <v>9</v>
      </c>
      <c r="B2611" t="s">
        <v>137</v>
      </c>
      <c r="C2611" s="8">
        <v>46243</v>
      </c>
      <c r="D2611" s="9">
        <v>29874</v>
      </c>
    </row>
    <row r="2612" spans="1:4">
      <c r="A2612" t="s">
        <v>5</v>
      </c>
      <c r="B2612" t="s">
        <v>206</v>
      </c>
      <c r="C2612" s="8">
        <v>46243</v>
      </c>
      <c r="D2612" s="9">
        <v>56572</v>
      </c>
    </row>
    <row r="2613" spans="1:4">
      <c r="A2613" t="s">
        <v>5</v>
      </c>
      <c r="B2613" t="s">
        <v>62</v>
      </c>
      <c r="C2613" s="8">
        <v>46243</v>
      </c>
      <c r="D2613" s="9">
        <v>34797</v>
      </c>
    </row>
    <row r="2614" spans="1:4">
      <c r="A2614" t="s">
        <v>5</v>
      </c>
      <c r="B2614" t="s">
        <v>81</v>
      </c>
      <c r="C2614" s="8">
        <v>46243</v>
      </c>
      <c r="D2614" s="9">
        <v>47826</v>
      </c>
    </row>
    <row r="2615" spans="1:4">
      <c r="A2615" t="s">
        <v>5</v>
      </c>
      <c r="B2615" t="s">
        <v>202</v>
      </c>
      <c r="C2615" s="8">
        <v>46243</v>
      </c>
      <c r="D2615" s="9">
        <v>40166</v>
      </c>
    </row>
    <row r="2616" spans="1:4">
      <c r="A2616" t="s">
        <v>5</v>
      </c>
      <c r="B2616" t="s">
        <v>167</v>
      </c>
      <c r="C2616" s="8">
        <v>46243</v>
      </c>
      <c r="D2616" s="9">
        <v>49538</v>
      </c>
    </row>
    <row r="2617" spans="1:4">
      <c r="A2617" t="s">
        <v>5</v>
      </c>
      <c r="B2617" t="s">
        <v>125</v>
      </c>
      <c r="C2617" s="8">
        <v>46243</v>
      </c>
      <c r="D2617" s="9">
        <v>34259</v>
      </c>
    </row>
    <row r="2618" spans="1:4">
      <c r="A2618" t="s">
        <v>4</v>
      </c>
      <c r="B2618" t="s">
        <v>144</v>
      </c>
      <c r="C2618" s="8">
        <v>46244</v>
      </c>
      <c r="D2618" s="9">
        <v>30337</v>
      </c>
    </row>
    <row r="2619" spans="1:4">
      <c r="A2619" t="s">
        <v>4</v>
      </c>
      <c r="B2619" t="s">
        <v>151</v>
      </c>
      <c r="C2619" s="8">
        <v>46244</v>
      </c>
      <c r="D2619" s="9">
        <v>44881</v>
      </c>
    </row>
    <row r="2620" spans="1:4">
      <c r="A2620" t="s">
        <v>28</v>
      </c>
      <c r="B2620" t="s">
        <v>121</v>
      </c>
      <c r="C2620" s="8">
        <v>46244</v>
      </c>
      <c r="D2620" s="9">
        <v>25566</v>
      </c>
    </row>
    <row r="2621" spans="1:4">
      <c r="A2621" t="s">
        <v>8</v>
      </c>
      <c r="B2621" t="s">
        <v>266</v>
      </c>
      <c r="C2621" s="8">
        <v>46244</v>
      </c>
      <c r="D2621" s="9">
        <v>18299</v>
      </c>
    </row>
    <row r="2622" spans="1:4">
      <c r="A2622" t="s">
        <v>7</v>
      </c>
      <c r="B2622" t="s">
        <v>76</v>
      </c>
      <c r="C2622" s="8">
        <v>46244</v>
      </c>
      <c r="D2622" s="9">
        <v>28337</v>
      </c>
    </row>
    <row r="2623" spans="1:4">
      <c r="A2623" t="s">
        <v>7</v>
      </c>
      <c r="B2623" t="s">
        <v>260</v>
      </c>
      <c r="C2623" s="8">
        <v>46244</v>
      </c>
      <c r="D2623" s="9">
        <v>33570</v>
      </c>
    </row>
    <row r="2624" spans="1:4">
      <c r="A2624" t="s">
        <v>5</v>
      </c>
      <c r="B2624" t="s">
        <v>81</v>
      </c>
      <c r="C2624" s="8">
        <v>46244</v>
      </c>
      <c r="D2624" s="9">
        <v>37961</v>
      </c>
    </row>
    <row r="2625" spans="1:4">
      <c r="A2625" t="s">
        <v>5</v>
      </c>
      <c r="B2625" t="s">
        <v>197</v>
      </c>
      <c r="C2625" s="8">
        <v>46244</v>
      </c>
      <c r="D2625" s="9">
        <v>27866</v>
      </c>
    </row>
    <row r="2626" spans="1:4">
      <c r="A2626" t="s">
        <v>5</v>
      </c>
      <c r="B2626" t="s">
        <v>139</v>
      </c>
      <c r="C2626" s="8">
        <v>46244</v>
      </c>
      <c r="D2626" s="9">
        <v>50603</v>
      </c>
    </row>
    <row r="2627" spans="1:4">
      <c r="A2627" t="s">
        <v>27</v>
      </c>
      <c r="B2627" t="s">
        <v>179</v>
      </c>
      <c r="C2627" s="8">
        <v>46245</v>
      </c>
      <c r="D2627" s="9">
        <v>21052</v>
      </c>
    </row>
    <row r="2628" spans="1:4">
      <c r="A2628" t="s">
        <v>27</v>
      </c>
      <c r="B2628" t="s">
        <v>237</v>
      </c>
      <c r="C2628" s="8">
        <v>46245</v>
      </c>
      <c r="D2628" s="9">
        <v>5200</v>
      </c>
    </row>
    <row r="2629" spans="1:4">
      <c r="A2629" t="s">
        <v>4</v>
      </c>
      <c r="B2629" t="s">
        <v>61</v>
      </c>
      <c r="C2629" s="8">
        <v>46245</v>
      </c>
      <c r="D2629" s="9">
        <v>36087</v>
      </c>
    </row>
    <row r="2630" spans="1:4">
      <c r="A2630" t="s">
        <v>26</v>
      </c>
      <c r="B2630" t="s">
        <v>67</v>
      </c>
      <c r="C2630" s="8">
        <v>46245</v>
      </c>
      <c r="D2630" s="9">
        <v>16086</v>
      </c>
    </row>
    <row r="2631" spans="1:4">
      <c r="A2631" t="s">
        <v>34</v>
      </c>
      <c r="B2631" t="s">
        <v>215</v>
      </c>
      <c r="C2631" s="8">
        <v>46245</v>
      </c>
      <c r="D2631" s="9">
        <v>26054</v>
      </c>
    </row>
    <row r="2632" spans="1:4">
      <c r="A2632" t="s">
        <v>7</v>
      </c>
      <c r="B2632" t="s">
        <v>275</v>
      </c>
      <c r="C2632" s="8">
        <v>46245</v>
      </c>
      <c r="D2632" s="9">
        <v>32767</v>
      </c>
    </row>
    <row r="2633" spans="1:4">
      <c r="A2633" t="s">
        <v>9</v>
      </c>
      <c r="B2633" t="s">
        <v>269</v>
      </c>
      <c r="C2633" s="8">
        <v>46245</v>
      </c>
      <c r="D2633" s="9">
        <v>30241</v>
      </c>
    </row>
    <row r="2634" spans="1:4">
      <c r="A2634" t="s">
        <v>9</v>
      </c>
      <c r="B2634" t="s">
        <v>208</v>
      </c>
      <c r="C2634" s="8">
        <v>46245</v>
      </c>
      <c r="D2634" s="9">
        <v>34453</v>
      </c>
    </row>
    <row r="2635" spans="1:4">
      <c r="A2635" t="s">
        <v>5</v>
      </c>
      <c r="B2635" t="s">
        <v>158</v>
      </c>
      <c r="C2635" s="8">
        <v>46245</v>
      </c>
      <c r="D2635" s="9">
        <v>29134</v>
      </c>
    </row>
    <row r="2636" spans="1:4">
      <c r="A2636" t="s">
        <v>26</v>
      </c>
      <c r="B2636" t="s">
        <v>251</v>
      </c>
      <c r="C2636" s="8">
        <v>46246</v>
      </c>
      <c r="D2636" s="9">
        <v>22338</v>
      </c>
    </row>
    <row r="2637" spans="1:4">
      <c r="A2637" t="s">
        <v>8</v>
      </c>
      <c r="B2637" t="s">
        <v>52</v>
      </c>
      <c r="C2637" s="8">
        <v>46246</v>
      </c>
      <c r="D2637" s="9">
        <v>21045</v>
      </c>
    </row>
    <row r="2638" spans="1:4">
      <c r="A2638" t="s">
        <v>32</v>
      </c>
      <c r="B2638" t="s">
        <v>224</v>
      </c>
      <c r="C2638" s="8">
        <v>46246</v>
      </c>
      <c r="D2638" s="9">
        <v>14549</v>
      </c>
    </row>
    <row r="2639" spans="1:4">
      <c r="A2639" t="s">
        <v>9</v>
      </c>
      <c r="B2639" t="s">
        <v>161</v>
      </c>
      <c r="C2639" s="8">
        <v>46246</v>
      </c>
      <c r="D2639" s="9">
        <v>12060</v>
      </c>
    </row>
    <row r="2640" spans="1:4">
      <c r="A2640" t="s">
        <v>9</v>
      </c>
      <c r="B2640" t="s">
        <v>173</v>
      </c>
      <c r="C2640" s="8">
        <v>46246</v>
      </c>
      <c r="D2640" s="9">
        <v>32646</v>
      </c>
    </row>
    <row r="2641" spans="1:4">
      <c r="A2641" t="s">
        <v>5</v>
      </c>
      <c r="B2641" t="s">
        <v>95</v>
      </c>
      <c r="C2641" s="8">
        <v>46246</v>
      </c>
      <c r="D2641" s="9">
        <v>47370</v>
      </c>
    </row>
    <row r="2642" spans="1:4">
      <c r="A2642" t="s">
        <v>5</v>
      </c>
      <c r="B2642" t="s">
        <v>188</v>
      </c>
      <c r="C2642" s="8">
        <v>46246</v>
      </c>
      <c r="D2642" s="9">
        <v>48900</v>
      </c>
    </row>
    <row r="2643" spans="1:4">
      <c r="A2643" t="s">
        <v>5</v>
      </c>
      <c r="B2643" t="s">
        <v>141</v>
      </c>
      <c r="C2643" s="8">
        <v>46246</v>
      </c>
      <c r="D2643" s="9">
        <v>39754</v>
      </c>
    </row>
    <row r="2644" spans="1:4">
      <c r="A2644" t="s">
        <v>5</v>
      </c>
      <c r="B2644" t="s">
        <v>205</v>
      </c>
      <c r="C2644" s="8">
        <v>46246</v>
      </c>
      <c r="D2644" s="9">
        <v>50254</v>
      </c>
    </row>
    <row r="2645" spans="1:4">
      <c r="A2645" t="s">
        <v>5</v>
      </c>
      <c r="B2645" t="s">
        <v>205</v>
      </c>
      <c r="C2645" s="8">
        <v>46246</v>
      </c>
      <c r="D2645" s="9">
        <v>40283</v>
      </c>
    </row>
    <row r="2646" spans="1:4">
      <c r="A2646" t="s">
        <v>7</v>
      </c>
      <c r="B2646" t="s">
        <v>263</v>
      </c>
      <c r="C2646" s="8">
        <v>46247</v>
      </c>
      <c r="D2646" s="9">
        <v>21446</v>
      </c>
    </row>
    <row r="2647" spans="1:4">
      <c r="A2647" t="s">
        <v>7</v>
      </c>
      <c r="B2647" t="s">
        <v>114</v>
      </c>
      <c r="C2647" s="8">
        <v>46247</v>
      </c>
      <c r="D2647" s="9">
        <v>36312</v>
      </c>
    </row>
    <row r="2648" spans="1:4">
      <c r="A2648" t="s">
        <v>7</v>
      </c>
      <c r="B2648" t="s">
        <v>54</v>
      </c>
      <c r="C2648" s="8">
        <v>46247</v>
      </c>
      <c r="D2648" s="9">
        <v>32717</v>
      </c>
    </row>
    <row r="2649" spans="1:4">
      <c r="A2649" t="s">
        <v>7</v>
      </c>
      <c r="B2649" t="s">
        <v>92</v>
      </c>
      <c r="C2649" s="8">
        <v>46247</v>
      </c>
      <c r="D2649" s="9">
        <v>39900</v>
      </c>
    </row>
    <row r="2650" spans="1:4">
      <c r="A2650" t="s">
        <v>9</v>
      </c>
      <c r="B2650" t="s">
        <v>283</v>
      </c>
      <c r="C2650" s="8">
        <v>46247</v>
      </c>
      <c r="D2650" s="9">
        <v>31862</v>
      </c>
    </row>
    <row r="2651" spans="1:4">
      <c r="A2651" t="s">
        <v>5</v>
      </c>
      <c r="B2651" t="s">
        <v>115</v>
      </c>
      <c r="C2651" s="8">
        <v>46247</v>
      </c>
      <c r="D2651" s="9">
        <v>42272</v>
      </c>
    </row>
    <row r="2652" spans="1:4">
      <c r="A2652" t="s">
        <v>5</v>
      </c>
      <c r="B2652" t="s">
        <v>110</v>
      </c>
      <c r="C2652" s="8">
        <v>46247</v>
      </c>
      <c r="D2652" s="9">
        <v>40277</v>
      </c>
    </row>
    <row r="2653" spans="1:4">
      <c r="A2653" t="s">
        <v>5</v>
      </c>
      <c r="B2653" t="s">
        <v>184</v>
      </c>
      <c r="C2653" s="8">
        <v>46247</v>
      </c>
      <c r="D2653" s="9">
        <v>48259</v>
      </c>
    </row>
    <row r="2654" spans="1:4">
      <c r="A2654" t="s">
        <v>5</v>
      </c>
      <c r="B2654" t="s">
        <v>158</v>
      </c>
      <c r="C2654" s="8">
        <v>46247</v>
      </c>
      <c r="D2654" s="9">
        <v>25534</v>
      </c>
    </row>
    <row r="2655" spans="1:4">
      <c r="A2655" t="s">
        <v>5</v>
      </c>
      <c r="B2655" t="s">
        <v>138</v>
      </c>
      <c r="C2655" s="8">
        <v>46247</v>
      </c>
      <c r="D2655" s="9">
        <v>48635</v>
      </c>
    </row>
    <row r="2656" spans="1:4">
      <c r="A2656" t="s">
        <v>4</v>
      </c>
      <c r="B2656" t="s">
        <v>213</v>
      </c>
      <c r="C2656" s="8">
        <v>46248</v>
      </c>
      <c r="D2656" s="9">
        <v>25436</v>
      </c>
    </row>
    <row r="2657" spans="1:4">
      <c r="A2657" t="s">
        <v>4</v>
      </c>
      <c r="B2657" t="s">
        <v>85</v>
      </c>
      <c r="C2657" s="8">
        <v>46248</v>
      </c>
      <c r="D2657" s="9">
        <v>34841</v>
      </c>
    </row>
    <row r="2658" spans="1:4">
      <c r="A2658" t="s">
        <v>25</v>
      </c>
      <c r="B2658" t="s">
        <v>261</v>
      </c>
      <c r="C2658" s="8">
        <v>46248</v>
      </c>
      <c r="D2658" s="9">
        <v>17497</v>
      </c>
    </row>
    <row r="2659" spans="1:4">
      <c r="A2659" t="s">
        <v>28</v>
      </c>
      <c r="B2659" t="s">
        <v>152</v>
      </c>
      <c r="C2659" s="8">
        <v>46248</v>
      </c>
      <c r="D2659" s="9">
        <v>13781</v>
      </c>
    </row>
    <row r="2660" spans="1:4">
      <c r="A2660" t="s">
        <v>36</v>
      </c>
      <c r="B2660" t="s">
        <v>225</v>
      </c>
      <c r="C2660" s="8">
        <v>46248</v>
      </c>
      <c r="D2660" s="9">
        <v>5200</v>
      </c>
    </row>
    <row r="2661" spans="1:4">
      <c r="A2661" t="s">
        <v>30</v>
      </c>
      <c r="B2661" t="s">
        <v>156</v>
      </c>
      <c r="C2661" s="8">
        <v>46248</v>
      </c>
      <c r="D2661" s="9">
        <v>13588</v>
      </c>
    </row>
    <row r="2662" spans="1:4">
      <c r="A2662" t="s">
        <v>8</v>
      </c>
      <c r="B2662" t="s">
        <v>148</v>
      </c>
      <c r="C2662" s="8">
        <v>46248</v>
      </c>
      <c r="D2662" s="9">
        <v>19338</v>
      </c>
    </row>
    <row r="2663" spans="1:4">
      <c r="A2663" t="s">
        <v>6</v>
      </c>
      <c r="B2663" t="s">
        <v>262</v>
      </c>
      <c r="C2663" s="8">
        <v>46248</v>
      </c>
      <c r="D2663" s="9">
        <v>11897</v>
      </c>
    </row>
    <row r="2664" spans="1:4">
      <c r="A2664" t="s">
        <v>9</v>
      </c>
      <c r="B2664" t="s">
        <v>88</v>
      </c>
      <c r="C2664" s="8">
        <v>46248</v>
      </c>
      <c r="D2664" s="9">
        <v>38097</v>
      </c>
    </row>
    <row r="2665" spans="1:4">
      <c r="A2665" t="s">
        <v>9</v>
      </c>
      <c r="B2665" t="s">
        <v>65</v>
      </c>
      <c r="C2665" s="8">
        <v>46248</v>
      </c>
      <c r="D2665" s="9">
        <v>53880</v>
      </c>
    </row>
    <row r="2666" spans="1:4">
      <c r="A2666" t="s">
        <v>9</v>
      </c>
      <c r="B2666" t="s">
        <v>178</v>
      </c>
      <c r="C2666" s="8">
        <v>46248</v>
      </c>
      <c r="D2666" s="9">
        <v>28240</v>
      </c>
    </row>
    <row r="2667" spans="1:4">
      <c r="A2667" t="s">
        <v>9</v>
      </c>
      <c r="B2667" t="s">
        <v>78</v>
      </c>
      <c r="C2667" s="8">
        <v>46248</v>
      </c>
      <c r="D2667" s="9">
        <v>26703</v>
      </c>
    </row>
    <row r="2668" spans="1:4">
      <c r="A2668" t="s">
        <v>9</v>
      </c>
      <c r="B2668" t="s">
        <v>92</v>
      </c>
      <c r="C2668" s="8">
        <v>46248</v>
      </c>
      <c r="D2668" s="9">
        <v>36438</v>
      </c>
    </row>
    <row r="2669" spans="1:4">
      <c r="A2669" t="s">
        <v>9</v>
      </c>
      <c r="B2669" t="s">
        <v>48</v>
      </c>
      <c r="C2669" s="8">
        <v>46248</v>
      </c>
      <c r="D2669" s="9">
        <v>39141</v>
      </c>
    </row>
    <row r="2670" spans="1:4">
      <c r="A2670" t="s">
        <v>5</v>
      </c>
      <c r="B2670" t="s">
        <v>103</v>
      </c>
      <c r="C2670" s="8">
        <v>46248</v>
      </c>
      <c r="D2670" s="9">
        <v>40358</v>
      </c>
    </row>
    <row r="2671" spans="1:4">
      <c r="A2671" t="s">
        <v>5</v>
      </c>
      <c r="B2671" t="s">
        <v>80</v>
      </c>
      <c r="C2671" s="8">
        <v>46248</v>
      </c>
      <c r="D2671" s="9">
        <v>43702</v>
      </c>
    </row>
    <row r="2672" spans="1:4">
      <c r="A2672" t="s">
        <v>4</v>
      </c>
      <c r="B2672" t="s">
        <v>84</v>
      </c>
      <c r="C2672" s="8">
        <v>46249</v>
      </c>
      <c r="D2672" s="9">
        <v>33842</v>
      </c>
    </row>
    <row r="2673" spans="1:4">
      <c r="A2673" t="s">
        <v>4</v>
      </c>
      <c r="B2673" t="s">
        <v>212</v>
      </c>
      <c r="C2673" s="8">
        <v>46249</v>
      </c>
      <c r="D2673" s="9">
        <v>35682</v>
      </c>
    </row>
    <row r="2674" spans="1:4">
      <c r="A2674" t="s">
        <v>25</v>
      </c>
      <c r="B2674" t="s">
        <v>169</v>
      </c>
      <c r="C2674" s="8">
        <v>46249</v>
      </c>
      <c r="D2674" s="9">
        <v>14210</v>
      </c>
    </row>
    <row r="2675" spans="1:4">
      <c r="A2675" t="s">
        <v>28</v>
      </c>
      <c r="B2675" t="s">
        <v>240</v>
      </c>
      <c r="C2675" s="8">
        <v>46249</v>
      </c>
      <c r="D2675" s="9">
        <v>14462</v>
      </c>
    </row>
    <row r="2676" spans="1:4">
      <c r="A2676" t="s">
        <v>8</v>
      </c>
      <c r="B2676" t="s">
        <v>281</v>
      </c>
      <c r="C2676" s="8">
        <v>46249</v>
      </c>
      <c r="D2676" s="9">
        <v>22262</v>
      </c>
    </row>
    <row r="2677" spans="1:4">
      <c r="A2677" t="s">
        <v>29</v>
      </c>
      <c r="B2677" t="s">
        <v>109</v>
      </c>
      <c r="C2677" s="8">
        <v>46249</v>
      </c>
      <c r="D2677" s="9">
        <v>5200</v>
      </c>
    </row>
    <row r="2678" spans="1:4">
      <c r="A2678" t="s">
        <v>9</v>
      </c>
      <c r="B2678" t="s">
        <v>182</v>
      </c>
      <c r="C2678" s="8">
        <v>46249</v>
      </c>
      <c r="D2678" s="9">
        <v>52969</v>
      </c>
    </row>
    <row r="2679" spans="1:4">
      <c r="A2679" t="s">
        <v>9</v>
      </c>
      <c r="B2679" t="s">
        <v>65</v>
      </c>
      <c r="C2679" s="8">
        <v>46249</v>
      </c>
      <c r="D2679" s="9">
        <v>38734</v>
      </c>
    </row>
    <row r="2680" spans="1:4">
      <c r="A2680" t="s">
        <v>5</v>
      </c>
      <c r="B2680" t="s">
        <v>209</v>
      </c>
      <c r="C2680" s="8">
        <v>46249</v>
      </c>
      <c r="D2680" s="9">
        <v>35767</v>
      </c>
    </row>
    <row r="2681" spans="1:4">
      <c r="A2681" t="s">
        <v>5</v>
      </c>
      <c r="B2681" t="s">
        <v>94</v>
      </c>
      <c r="C2681" s="8">
        <v>46249</v>
      </c>
      <c r="D2681" s="9">
        <v>39648</v>
      </c>
    </row>
    <row r="2682" spans="1:4">
      <c r="A2682" t="s">
        <v>5</v>
      </c>
      <c r="B2682" t="s">
        <v>104</v>
      </c>
      <c r="C2682" s="8">
        <v>46249</v>
      </c>
      <c r="D2682" s="9">
        <v>48359</v>
      </c>
    </row>
    <row r="2683" spans="1:4">
      <c r="A2683" t="s">
        <v>5</v>
      </c>
      <c r="B2683" t="s">
        <v>242</v>
      </c>
      <c r="C2683" s="8">
        <v>46249</v>
      </c>
      <c r="D2683" s="9">
        <v>38595</v>
      </c>
    </row>
    <row r="2684" spans="1:4">
      <c r="A2684" t="s">
        <v>4</v>
      </c>
      <c r="B2684" t="s">
        <v>193</v>
      </c>
      <c r="C2684" s="8">
        <v>46250</v>
      </c>
      <c r="D2684" s="9">
        <v>38439</v>
      </c>
    </row>
    <row r="2685" spans="1:4">
      <c r="A2685" t="s">
        <v>4</v>
      </c>
      <c r="B2685" t="s">
        <v>147</v>
      </c>
      <c r="C2685" s="8">
        <v>46250</v>
      </c>
      <c r="D2685" s="9">
        <v>30674</v>
      </c>
    </row>
    <row r="2686" spans="1:4">
      <c r="A2686" t="s">
        <v>4</v>
      </c>
      <c r="B2686" t="s">
        <v>214</v>
      </c>
      <c r="C2686" s="8">
        <v>46250</v>
      </c>
      <c r="D2686" s="9">
        <v>50413</v>
      </c>
    </row>
    <row r="2687" spans="1:4">
      <c r="A2687" t="s">
        <v>8</v>
      </c>
      <c r="B2687" t="s">
        <v>246</v>
      </c>
      <c r="C2687" s="8">
        <v>46250</v>
      </c>
      <c r="D2687" s="9">
        <v>19368</v>
      </c>
    </row>
    <row r="2688" spans="1:4">
      <c r="A2688" t="s">
        <v>8</v>
      </c>
      <c r="B2688" t="s">
        <v>143</v>
      </c>
      <c r="C2688" s="8">
        <v>46250</v>
      </c>
      <c r="D2688" s="9">
        <v>6757</v>
      </c>
    </row>
    <row r="2689" spans="1:4">
      <c r="A2689" t="s">
        <v>6</v>
      </c>
      <c r="B2689" t="s">
        <v>73</v>
      </c>
      <c r="C2689" s="8">
        <v>46250</v>
      </c>
      <c r="D2689" s="9">
        <v>45170</v>
      </c>
    </row>
    <row r="2690" spans="1:4">
      <c r="A2690" t="s">
        <v>7</v>
      </c>
      <c r="B2690" t="s">
        <v>269</v>
      </c>
      <c r="C2690" s="8">
        <v>46250</v>
      </c>
      <c r="D2690" s="9">
        <v>30476</v>
      </c>
    </row>
    <row r="2691" spans="1:4">
      <c r="A2691" t="s">
        <v>9</v>
      </c>
      <c r="B2691" t="s">
        <v>221</v>
      </c>
      <c r="C2691" s="8">
        <v>46250</v>
      </c>
      <c r="D2691" s="9">
        <v>41935</v>
      </c>
    </row>
    <row r="2692" spans="1:4">
      <c r="A2692" t="s">
        <v>9</v>
      </c>
      <c r="B2692" t="s">
        <v>249</v>
      </c>
      <c r="C2692" s="8">
        <v>46250</v>
      </c>
      <c r="D2692" s="9">
        <v>31967</v>
      </c>
    </row>
    <row r="2693" spans="1:4">
      <c r="A2693" t="s">
        <v>9</v>
      </c>
      <c r="B2693" t="s">
        <v>228</v>
      </c>
      <c r="C2693" s="8">
        <v>46250</v>
      </c>
      <c r="D2693" s="9">
        <v>18798</v>
      </c>
    </row>
    <row r="2694" spans="1:4">
      <c r="A2694" t="s">
        <v>9</v>
      </c>
      <c r="B2694" t="s">
        <v>150</v>
      </c>
      <c r="C2694" s="8">
        <v>46250</v>
      </c>
      <c r="D2694" s="9">
        <v>30425</v>
      </c>
    </row>
    <row r="2695" spans="1:4">
      <c r="A2695" t="s">
        <v>5</v>
      </c>
      <c r="B2695" t="s">
        <v>110</v>
      </c>
      <c r="C2695" s="8">
        <v>46250</v>
      </c>
      <c r="D2695" s="9">
        <v>35945</v>
      </c>
    </row>
    <row r="2696" spans="1:4">
      <c r="A2696" t="s">
        <v>5</v>
      </c>
      <c r="B2696" t="s">
        <v>95</v>
      </c>
      <c r="C2696" s="8">
        <v>46250</v>
      </c>
      <c r="D2696" s="9">
        <v>47080</v>
      </c>
    </row>
    <row r="2697" spans="1:4">
      <c r="A2697" t="s">
        <v>4</v>
      </c>
      <c r="B2697" t="s">
        <v>213</v>
      </c>
      <c r="C2697" s="8">
        <v>46251</v>
      </c>
      <c r="D2697" s="9">
        <v>25926</v>
      </c>
    </row>
    <row r="2698" spans="1:4">
      <c r="A2698" t="s">
        <v>25</v>
      </c>
      <c r="B2698" t="s">
        <v>63</v>
      </c>
      <c r="C2698" s="8">
        <v>46251</v>
      </c>
      <c r="D2698" s="9">
        <v>17227</v>
      </c>
    </row>
    <row r="2699" spans="1:4">
      <c r="A2699" t="s">
        <v>36</v>
      </c>
      <c r="B2699" t="s">
        <v>155</v>
      </c>
      <c r="C2699" s="8">
        <v>46251</v>
      </c>
      <c r="D2699" s="9">
        <v>15022</v>
      </c>
    </row>
    <row r="2700" spans="1:4">
      <c r="A2700" t="s">
        <v>8</v>
      </c>
      <c r="B2700" t="s">
        <v>122</v>
      </c>
      <c r="C2700" s="8">
        <v>46251</v>
      </c>
      <c r="D2700" s="9">
        <v>21706</v>
      </c>
    </row>
    <row r="2701" spans="1:4">
      <c r="A2701" t="s">
        <v>6</v>
      </c>
      <c r="B2701" t="s">
        <v>113</v>
      </c>
      <c r="C2701" s="8">
        <v>46251</v>
      </c>
      <c r="D2701" s="9">
        <v>40269</v>
      </c>
    </row>
    <row r="2702" spans="1:4">
      <c r="A2702" t="s">
        <v>6</v>
      </c>
      <c r="B2702" t="s">
        <v>176</v>
      </c>
      <c r="C2702" s="8">
        <v>46251</v>
      </c>
      <c r="D2702" s="9">
        <v>24329</v>
      </c>
    </row>
    <row r="2703" spans="1:4">
      <c r="A2703" t="s">
        <v>29</v>
      </c>
      <c r="B2703" t="s">
        <v>165</v>
      </c>
      <c r="C2703" s="8">
        <v>46251</v>
      </c>
      <c r="D2703" s="9">
        <v>12055</v>
      </c>
    </row>
    <row r="2704" spans="1:4">
      <c r="A2704" t="s">
        <v>9</v>
      </c>
      <c r="B2704" t="s">
        <v>264</v>
      </c>
      <c r="C2704" s="8">
        <v>46251</v>
      </c>
      <c r="D2704" s="9">
        <v>16132</v>
      </c>
    </row>
    <row r="2705" spans="1:4">
      <c r="A2705" t="s">
        <v>9</v>
      </c>
      <c r="B2705" t="s">
        <v>131</v>
      </c>
      <c r="C2705" s="8">
        <v>46251</v>
      </c>
      <c r="D2705" s="9">
        <v>54273</v>
      </c>
    </row>
    <row r="2706" spans="1:4">
      <c r="A2706" t="s">
        <v>5</v>
      </c>
      <c r="B2706" t="s">
        <v>124</v>
      </c>
      <c r="C2706" s="8">
        <v>46251</v>
      </c>
      <c r="D2706" s="9">
        <v>40141</v>
      </c>
    </row>
    <row r="2707" spans="1:4">
      <c r="A2707" t="s">
        <v>5</v>
      </c>
      <c r="B2707" t="s">
        <v>197</v>
      </c>
      <c r="C2707" s="8">
        <v>46251</v>
      </c>
      <c r="D2707" s="9">
        <v>41070</v>
      </c>
    </row>
    <row r="2708" spans="1:4">
      <c r="A2708" t="s">
        <v>5</v>
      </c>
      <c r="B2708" t="s">
        <v>159</v>
      </c>
      <c r="C2708" s="8">
        <v>46251</v>
      </c>
      <c r="D2708" s="9">
        <v>41740</v>
      </c>
    </row>
    <row r="2709" spans="1:4">
      <c r="A2709" t="s">
        <v>5</v>
      </c>
      <c r="B2709" t="s">
        <v>118</v>
      </c>
      <c r="C2709" s="8">
        <v>46251</v>
      </c>
      <c r="D2709" s="9">
        <v>36557</v>
      </c>
    </row>
    <row r="2710" spans="1:4">
      <c r="A2710" t="s">
        <v>5</v>
      </c>
      <c r="B2710" t="s">
        <v>141</v>
      </c>
      <c r="C2710" s="8">
        <v>46251</v>
      </c>
      <c r="D2710" s="9">
        <v>43757</v>
      </c>
    </row>
    <row r="2711" spans="1:4">
      <c r="A2711" t="s">
        <v>5</v>
      </c>
      <c r="B2711" t="s">
        <v>141</v>
      </c>
      <c r="C2711" s="8">
        <v>46251</v>
      </c>
      <c r="D2711" s="9">
        <v>33662</v>
      </c>
    </row>
    <row r="2712" spans="1:4">
      <c r="A2712" t="s">
        <v>4</v>
      </c>
      <c r="B2712" t="s">
        <v>229</v>
      </c>
      <c r="C2712" s="8">
        <v>46252</v>
      </c>
      <c r="D2712" s="9">
        <v>32523</v>
      </c>
    </row>
    <row r="2713" spans="1:4">
      <c r="A2713" t="s">
        <v>4</v>
      </c>
      <c r="B2713" t="s">
        <v>189</v>
      </c>
      <c r="C2713" s="8">
        <v>46252</v>
      </c>
      <c r="D2713" s="9">
        <v>23318</v>
      </c>
    </row>
    <row r="2714" spans="1:4">
      <c r="A2714" t="s">
        <v>31</v>
      </c>
      <c r="B2714" t="s">
        <v>207</v>
      </c>
      <c r="C2714" s="8">
        <v>46252</v>
      </c>
      <c r="D2714" s="9">
        <v>12005</v>
      </c>
    </row>
    <row r="2715" spans="1:4">
      <c r="A2715" t="s">
        <v>9</v>
      </c>
      <c r="B2715" t="s">
        <v>144</v>
      </c>
      <c r="C2715" s="8">
        <v>46252</v>
      </c>
      <c r="D2715" s="9">
        <v>33717</v>
      </c>
    </row>
    <row r="2716" spans="1:4">
      <c r="A2716" t="s">
        <v>9</v>
      </c>
      <c r="B2716" t="s">
        <v>101</v>
      </c>
      <c r="C2716" s="8">
        <v>46252</v>
      </c>
      <c r="D2716" s="9">
        <v>35371</v>
      </c>
    </row>
    <row r="2717" spans="1:4">
      <c r="A2717" t="s">
        <v>9</v>
      </c>
      <c r="B2717" t="s">
        <v>136</v>
      </c>
      <c r="C2717" s="8">
        <v>46252</v>
      </c>
      <c r="D2717" s="9">
        <v>26742</v>
      </c>
    </row>
    <row r="2718" spans="1:4">
      <c r="A2718" t="s">
        <v>9</v>
      </c>
      <c r="B2718" t="s">
        <v>57</v>
      </c>
      <c r="C2718" s="8">
        <v>46252</v>
      </c>
      <c r="D2718" s="9">
        <v>25344</v>
      </c>
    </row>
    <row r="2719" spans="1:4">
      <c r="A2719" t="s">
        <v>5</v>
      </c>
      <c r="B2719" t="s">
        <v>158</v>
      </c>
      <c r="C2719" s="8">
        <v>46252</v>
      </c>
      <c r="D2719" s="9">
        <v>37945</v>
      </c>
    </row>
    <row r="2720" spans="1:4">
      <c r="A2720" t="s">
        <v>5</v>
      </c>
      <c r="B2720" t="s">
        <v>138</v>
      </c>
      <c r="C2720" s="8">
        <v>46252</v>
      </c>
      <c r="D2720" s="9">
        <v>35129</v>
      </c>
    </row>
    <row r="2721" spans="1:4">
      <c r="A2721" t="s">
        <v>5</v>
      </c>
      <c r="B2721" t="s">
        <v>191</v>
      </c>
      <c r="C2721" s="8">
        <v>46252</v>
      </c>
      <c r="D2721" s="9">
        <v>27797</v>
      </c>
    </row>
    <row r="2722" spans="1:4">
      <c r="A2722" t="s">
        <v>4</v>
      </c>
      <c r="B2722" t="s">
        <v>84</v>
      </c>
      <c r="C2722" s="8">
        <v>46253</v>
      </c>
      <c r="D2722" s="9">
        <v>23010</v>
      </c>
    </row>
    <row r="2723" spans="1:4">
      <c r="A2723" t="s">
        <v>4</v>
      </c>
      <c r="B2723" t="s">
        <v>231</v>
      </c>
      <c r="C2723" s="8">
        <v>46253</v>
      </c>
      <c r="D2723" s="9">
        <v>35492</v>
      </c>
    </row>
    <row r="2724" spans="1:4">
      <c r="A2724" t="s">
        <v>6</v>
      </c>
      <c r="B2724" t="s">
        <v>72</v>
      </c>
      <c r="C2724" s="8">
        <v>46253</v>
      </c>
      <c r="D2724" s="9">
        <v>22046</v>
      </c>
    </row>
    <row r="2725" spans="1:4">
      <c r="A2725" t="s">
        <v>6</v>
      </c>
      <c r="B2725" t="s">
        <v>234</v>
      </c>
      <c r="C2725" s="8">
        <v>46253</v>
      </c>
      <c r="D2725" s="9">
        <v>22772</v>
      </c>
    </row>
    <row r="2726" spans="1:4">
      <c r="A2726" t="s">
        <v>29</v>
      </c>
      <c r="B2726" t="s">
        <v>55</v>
      </c>
      <c r="C2726" s="8">
        <v>46253</v>
      </c>
      <c r="D2726" s="9">
        <v>15309</v>
      </c>
    </row>
    <row r="2727" spans="1:4">
      <c r="A2727" t="s">
        <v>9</v>
      </c>
      <c r="B2727" t="s">
        <v>283</v>
      </c>
      <c r="C2727" s="8">
        <v>46253</v>
      </c>
      <c r="D2727" s="9">
        <v>44049</v>
      </c>
    </row>
    <row r="2728" spans="1:4">
      <c r="A2728" t="s">
        <v>9</v>
      </c>
      <c r="B2728" t="s">
        <v>48</v>
      </c>
      <c r="C2728" s="8">
        <v>46253</v>
      </c>
      <c r="D2728" s="9">
        <v>36888</v>
      </c>
    </row>
    <row r="2729" spans="1:4">
      <c r="A2729" t="s">
        <v>5</v>
      </c>
      <c r="B2729" t="s">
        <v>93</v>
      </c>
      <c r="C2729" s="8">
        <v>46253</v>
      </c>
      <c r="D2729" s="9">
        <v>56337</v>
      </c>
    </row>
    <row r="2730" spans="1:4">
      <c r="A2730" t="s">
        <v>5</v>
      </c>
      <c r="B2730" t="s">
        <v>181</v>
      </c>
      <c r="C2730" s="8">
        <v>46253</v>
      </c>
      <c r="D2730" s="9">
        <v>41573</v>
      </c>
    </row>
    <row r="2731" spans="1:4">
      <c r="A2731" t="s">
        <v>5</v>
      </c>
      <c r="B2731" t="s">
        <v>104</v>
      </c>
      <c r="C2731" s="8">
        <v>46253</v>
      </c>
      <c r="D2731" s="9">
        <v>40361</v>
      </c>
    </row>
    <row r="2732" spans="1:4">
      <c r="A2732" t="s">
        <v>5</v>
      </c>
      <c r="B2732" t="s">
        <v>183</v>
      </c>
      <c r="C2732" s="8">
        <v>46253</v>
      </c>
      <c r="D2732" s="9">
        <v>24895</v>
      </c>
    </row>
    <row r="2733" spans="1:4">
      <c r="A2733" t="s">
        <v>5</v>
      </c>
      <c r="B2733" t="s">
        <v>140</v>
      </c>
      <c r="C2733" s="8">
        <v>46253</v>
      </c>
      <c r="D2733" s="9">
        <v>33496</v>
      </c>
    </row>
    <row r="2734" spans="1:4">
      <c r="A2734" t="s">
        <v>5</v>
      </c>
      <c r="B2734" t="s">
        <v>53</v>
      </c>
      <c r="C2734" s="8">
        <v>46253</v>
      </c>
      <c r="D2734" s="9">
        <v>51064</v>
      </c>
    </row>
    <row r="2735" spans="1:4">
      <c r="A2735" t="s">
        <v>27</v>
      </c>
      <c r="B2735" t="s">
        <v>259</v>
      </c>
      <c r="C2735" s="8">
        <v>46254</v>
      </c>
      <c r="D2735" s="9">
        <v>10808</v>
      </c>
    </row>
    <row r="2736" spans="1:4">
      <c r="A2736" t="s">
        <v>4</v>
      </c>
      <c r="B2736" t="s">
        <v>238</v>
      </c>
      <c r="C2736" s="8">
        <v>46254</v>
      </c>
      <c r="D2736" s="9">
        <v>31537</v>
      </c>
    </row>
    <row r="2737" spans="1:4">
      <c r="A2737" t="s">
        <v>25</v>
      </c>
      <c r="B2737" t="s">
        <v>250</v>
      </c>
      <c r="C2737" s="8">
        <v>46254</v>
      </c>
      <c r="D2737" s="9">
        <v>18965</v>
      </c>
    </row>
    <row r="2738" spans="1:4">
      <c r="A2738" t="s">
        <v>25</v>
      </c>
      <c r="B2738" t="s">
        <v>175</v>
      </c>
      <c r="C2738" s="8">
        <v>46254</v>
      </c>
      <c r="D2738" s="9">
        <v>17160</v>
      </c>
    </row>
    <row r="2739" spans="1:4">
      <c r="A2739" t="s">
        <v>25</v>
      </c>
      <c r="B2739" t="s">
        <v>66</v>
      </c>
      <c r="C2739" s="8">
        <v>46254</v>
      </c>
      <c r="D2739" s="9">
        <v>18631</v>
      </c>
    </row>
    <row r="2740" spans="1:4">
      <c r="A2740" t="s">
        <v>7</v>
      </c>
      <c r="B2740" t="s">
        <v>282</v>
      </c>
      <c r="C2740" s="8">
        <v>46254</v>
      </c>
      <c r="D2740" s="9">
        <v>29319</v>
      </c>
    </row>
    <row r="2741" spans="1:4">
      <c r="A2741" t="s">
        <v>9</v>
      </c>
      <c r="B2741" t="s">
        <v>249</v>
      </c>
      <c r="C2741" s="8">
        <v>46254</v>
      </c>
      <c r="D2741" s="9">
        <v>27131</v>
      </c>
    </row>
    <row r="2742" spans="1:4">
      <c r="A2742" t="s">
        <v>5</v>
      </c>
      <c r="B2742" t="s">
        <v>117</v>
      </c>
      <c r="C2742" s="8">
        <v>46254</v>
      </c>
      <c r="D2742" s="9">
        <v>42732</v>
      </c>
    </row>
    <row r="2743" spans="1:4">
      <c r="A2743" t="s">
        <v>4</v>
      </c>
      <c r="B2743" t="s">
        <v>84</v>
      </c>
      <c r="C2743" s="8">
        <v>46255</v>
      </c>
      <c r="D2743" s="9">
        <v>28376</v>
      </c>
    </row>
    <row r="2744" spans="1:4">
      <c r="A2744" t="s">
        <v>4</v>
      </c>
      <c r="B2744" t="s">
        <v>244</v>
      </c>
      <c r="C2744" s="8">
        <v>46255</v>
      </c>
      <c r="D2744" s="9">
        <v>24278</v>
      </c>
    </row>
    <row r="2745" spans="1:4">
      <c r="A2745" t="s">
        <v>6</v>
      </c>
      <c r="B2745" t="s">
        <v>200</v>
      </c>
      <c r="C2745" s="8">
        <v>46255</v>
      </c>
      <c r="D2745" s="9">
        <v>9342</v>
      </c>
    </row>
    <row r="2746" spans="1:4">
      <c r="A2746" t="s">
        <v>7</v>
      </c>
      <c r="B2746" t="s">
        <v>171</v>
      </c>
      <c r="C2746" s="8">
        <v>46255</v>
      </c>
      <c r="D2746" s="9">
        <v>31821</v>
      </c>
    </row>
    <row r="2747" spans="1:4">
      <c r="A2747" t="s">
        <v>9</v>
      </c>
      <c r="B2747" t="s">
        <v>173</v>
      </c>
      <c r="C2747" s="8">
        <v>46255</v>
      </c>
      <c r="D2747" s="9">
        <v>31550</v>
      </c>
    </row>
    <row r="2748" spans="1:4">
      <c r="A2748" t="s">
        <v>9</v>
      </c>
      <c r="B2748" t="s">
        <v>258</v>
      </c>
      <c r="C2748" s="8">
        <v>46255</v>
      </c>
      <c r="D2748" s="9">
        <v>30230</v>
      </c>
    </row>
    <row r="2749" spans="1:4">
      <c r="A2749" t="s">
        <v>5</v>
      </c>
      <c r="B2749" t="s">
        <v>221</v>
      </c>
      <c r="C2749" s="8">
        <v>46255</v>
      </c>
      <c r="D2749" s="9">
        <v>51048</v>
      </c>
    </row>
    <row r="2750" spans="1:4">
      <c r="A2750" t="s">
        <v>5</v>
      </c>
      <c r="B2750" t="s">
        <v>62</v>
      </c>
      <c r="C2750" s="8">
        <v>46255</v>
      </c>
      <c r="D2750" s="9">
        <v>32029</v>
      </c>
    </row>
    <row r="2751" spans="1:4">
      <c r="A2751" t="s">
        <v>26</v>
      </c>
      <c r="B2751" t="s">
        <v>64</v>
      </c>
      <c r="C2751" s="8">
        <v>46256</v>
      </c>
      <c r="D2751" s="9">
        <v>12103</v>
      </c>
    </row>
    <row r="2752" spans="1:4">
      <c r="A2752" t="s">
        <v>6</v>
      </c>
      <c r="B2752" t="s">
        <v>180</v>
      </c>
      <c r="C2752" s="8">
        <v>46256</v>
      </c>
      <c r="D2752" s="9">
        <v>27286</v>
      </c>
    </row>
    <row r="2753" spans="1:4">
      <c r="A2753" t="s">
        <v>33</v>
      </c>
      <c r="B2753" t="s">
        <v>134</v>
      </c>
      <c r="C2753" s="8">
        <v>46256</v>
      </c>
      <c r="D2753" s="9">
        <v>13989</v>
      </c>
    </row>
    <row r="2754" spans="1:4">
      <c r="A2754" t="s">
        <v>37</v>
      </c>
      <c r="B2754" t="s">
        <v>248</v>
      </c>
      <c r="C2754" s="8">
        <v>46256</v>
      </c>
      <c r="D2754" s="9">
        <v>13375</v>
      </c>
    </row>
    <row r="2755" spans="1:4">
      <c r="A2755" t="s">
        <v>9</v>
      </c>
      <c r="B2755" t="s">
        <v>47</v>
      </c>
      <c r="C2755" s="8">
        <v>46256</v>
      </c>
      <c r="D2755" s="9">
        <v>10793</v>
      </c>
    </row>
    <row r="2756" spans="1:4">
      <c r="A2756" t="s">
        <v>9</v>
      </c>
      <c r="B2756" t="s">
        <v>88</v>
      </c>
      <c r="C2756" s="8">
        <v>46256</v>
      </c>
      <c r="D2756" s="9">
        <v>31161</v>
      </c>
    </row>
    <row r="2757" spans="1:4">
      <c r="A2757" t="s">
        <v>9</v>
      </c>
      <c r="B2757" t="s">
        <v>173</v>
      </c>
      <c r="C2757" s="8">
        <v>46256</v>
      </c>
      <c r="D2757" s="9">
        <v>32388</v>
      </c>
    </row>
    <row r="2758" spans="1:4">
      <c r="A2758" t="s">
        <v>9</v>
      </c>
      <c r="B2758" t="s">
        <v>51</v>
      </c>
      <c r="C2758" s="8">
        <v>46256</v>
      </c>
      <c r="D2758" s="9">
        <v>42055</v>
      </c>
    </row>
    <row r="2759" spans="1:4">
      <c r="A2759" t="s">
        <v>5</v>
      </c>
      <c r="B2759" t="s">
        <v>192</v>
      </c>
      <c r="C2759" s="8">
        <v>46256</v>
      </c>
      <c r="D2759" s="9">
        <v>28627</v>
      </c>
    </row>
    <row r="2760" spans="1:4">
      <c r="A2760" t="s">
        <v>5</v>
      </c>
      <c r="B2760" t="s">
        <v>132</v>
      </c>
      <c r="C2760" s="8">
        <v>46256</v>
      </c>
      <c r="D2760" s="9">
        <v>34168</v>
      </c>
    </row>
    <row r="2761" spans="1:4">
      <c r="A2761" t="s">
        <v>5</v>
      </c>
      <c r="B2761" t="s">
        <v>197</v>
      </c>
      <c r="C2761" s="8">
        <v>46256</v>
      </c>
      <c r="D2761" s="9">
        <v>39096</v>
      </c>
    </row>
    <row r="2762" spans="1:4">
      <c r="A2762" t="s">
        <v>35</v>
      </c>
      <c r="B2762" t="s">
        <v>210</v>
      </c>
      <c r="C2762" s="8">
        <v>46257</v>
      </c>
      <c r="D2762" s="9">
        <v>19491</v>
      </c>
    </row>
    <row r="2763" spans="1:4">
      <c r="A2763" t="s">
        <v>4</v>
      </c>
      <c r="B2763" t="s">
        <v>133</v>
      </c>
      <c r="C2763" s="8">
        <v>46257</v>
      </c>
      <c r="D2763" s="9">
        <v>15218</v>
      </c>
    </row>
    <row r="2764" spans="1:4">
      <c r="A2764" t="s">
        <v>31</v>
      </c>
      <c r="B2764" t="s">
        <v>272</v>
      </c>
      <c r="C2764" s="8">
        <v>46257</v>
      </c>
      <c r="D2764" s="9">
        <v>22349</v>
      </c>
    </row>
    <row r="2765" spans="1:4">
      <c r="A2765" t="s">
        <v>7</v>
      </c>
      <c r="B2765" t="s">
        <v>75</v>
      </c>
      <c r="C2765" s="8">
        <v>46257</v>
      </c>
      <c r="D2765" s="9">
        <v>25290</v>
      </c>
    </row>
    <row r="2766" spans="1:4">
      <c r="A2766" t="s">
        <v>7</v>
      </c>
      <c r="B2766" t="s">
        <v>79</v>
      </c>
      <c r="C2766" s="8">
        <v>46257</v>
      </c>
      <c r="D2766" s="9">
        <v>48292</v>
      </c>
    </row>
    <row r="2767" spans="1:4">
      <c r="A2767" t="s">
        <v>9</v>
      </c>
      <c r="B2767" t="s">
        <v>166</v>
      </c>
      <c r="C2767" s="8">
        <v>46257</v>
      </c>
      <c r="D2767" s="9">
        <v>37981</v>
      </c>
    </row>
    <row r="2768" spans="1:4">
      <c r="A2768" t="s">
        <v>5</v>
      </c>
      <c r="B2768" t="s">
        <v>184</v>
      </c>
      <c r="C2768" s="8">
        <v>46257</v>
      </c>
      <c r="D2768" s="9">
        <v>36905</v>
      </c>
    </row>
    <row r="2769" spans="1:4">
      <c r="A2769" t="s">
        <v>5</v>
      </c>
      <c r="B2769" t="s">
        <v>117</v>
      </c>
      <c r="C2769" s="8">
        <v>46257</v>
      </c>
      <c r="D2769" s="9">
        <v>32863</v>
      </c>
    </row>
    <row r="2770" spans="1:4">
      <c r="A2770" t="s">
        <v>5</v>
      </c>
      <c r="B2770" t="s">
        <v>190</v>
      </c>
      <c r="C2770" s="8">
        <v>46257</v>
      </c>
      <c r="D2770" s="9">
        <v>39784</v>
      </c>
    </row>
    <row r="2771" spans="1:4">
      <c r="A2771" t="s">
        <v>5</v>
      </c>
      <c r="B2771" t="s">
        <v>105</v>
      </c>
      <c r="C2771" s="8">
        <v>46257</v>
      </c>
      <c r="D2771" s="9">
        <v>48348</v>
      </c>
    </row>
    <row r="2772" spans="1:4">
      <c r="A2772" t="s">
        <v>27</v>
      </c>
      <c r="B2772" t="s">
        <v>82</v>
      </c>
      <c r="C2772" s="8">
        <v>46258</v>
      </c>
      <c r="D2772" s="9">
        <v>18686</v>
      </c>
    </row>
    <row r="2773" spans="1:4">
      <c r="A2773" t="s">
        <v>4</v>
      </c>
      <c r="B2773" t="s">
        <v>147</v>
      </c>
      <c r="C2773" s="8">
        <v>46258</v>
      </c>
      <c r="D2773" s="9">
        <v>24129</v>
      </c>
    </row>
    <row r="2774" spans="1:4">
      <c r="A2774" t="s">
        <v>4</v>
      </c>
      <c r="B2774" t="s">
        <v>168</v>
      </c>
      <c r="C2774" s="8">
        <v>46258</v>
      </c>
      <c r="D2774" s="9">
        <v>44612</v>
      </c>
    </row>
    <row r="2775" spans="1:4">
      <c r="A2775" t="s">
        <v>4</v>
      </c>
      <c r="B2775" t="s">
        <v>185</v>
      </c>
      <c r="C2775" s="8">
        <v>46258</v>
      </c>
      <c r="D2775" s="9">
        <v>29977</v>
      </c>
    </row>
    <row r="2776" spans="1:4">
      <c r="A2776" t="s">
        <v>26</v>
      </c>
      <c r="B2776" t="s">
        <v>83</v>
      </c>
      <c r="C2776" s="8">
        <v>46258</v>
      </c>
      <c r="D2776" s="9">
        <v>18419</v>
      </c>
    </row>
    <row r="2777" spans="1:4">
      <c r="A2777" t="s">
        <v>26</v>
      </c>
      <c r="B2777" t="s">
        <v>252</v>
      </c>
      <c r="C2777" s="8">
        <v>46258</v>
      </c>
      <c r="D2777" s="9">
        <v>24617</v>
      </c>
    </row>
    <row r="2778" spans="1:4">
      <c r="A2778" t="s">
        <v>8</v>
      </c>
      <c r="B2778" t="s">
        <v>49</v>
      </c>
      <c r="C2778" s="8">
        <v>46258</v>
      </c>
      <c r="D2778" s="9">
        <v>23141</v>
      </c>
    </row>
    <row r="2779" spans="1:4">
      <c r="A2779" t="s">
        <v>8</v>
      </c>
      <c r="B2779" t="s">
        <v>170</v>
      </c>
      <c r="C2779" s="8">
        <v>46258</v>
      </c>
      <c r="D2779" s="9">
        <v>21455</v>
      </c>
    </row>
    <row r="2780" spans="1:4">
      <c r="A2780" t="s">
        <v>6</v>
      </c>
      <c r="B2780" t="s">
        <v>216</v>
      </c>
      <c r="C2780" s="8">
        <v>46258</v>
      </c>
      <c r="D2780" s="9">
        <v>32061</v>
      </c>
    </row>
    <row r="2781" spans="1:4">
      <c r="A2781" t="s">
        <v>6</v>
      </c>
      <c r="B2781" t="s">
        <v>164</v>
      </c>
      <c r="C2781" s="8">
        <v>46258</v>
      </c>
      <c r="D2781" s="9">
        <v>27126</v>
      </c>
    </row>
    <row r="2782" spans="1:4">
      <c r="A2782" t="s">
        <v>9</v>
      </c>
      <c r="B2782" t="s">
        <v>227</v>
      </c>
      <c r="C2782" s="8">
        <v>46258</v>
      </c>
      <c r="D2782" s="9">
        <v>30126</v>
      </c>
    </row>
    <row r="2783" spans="1:4">
      <c r="A2783" t="s">
        <v>9</v>
      </c>
      <c r="B2783" t="s">
        <v>51</v>
      </c>
      <c r="C2783" s="8">
        <v>46258</v>
      </c>
      <c r="D2783" s="9">
        <v>42774</v>
      </c>
    </row>
    <row r="2784" spans="1:4">
      <c r="A2784" t="s">
        <v>5</v>
      </c>
      <c r="B2784" t="s">
        <v>138</v>
      </c>
      <c r="C2784" s="8">
        <v>46258</v>
      </c>
      <c r="D2784" s="9">
        <v>44941</v>
      </c>
    </row>
    <row r="2785" spans="1:4">
      <c r="A2785" t="s">
        <v>5</v>
      </c>
      <c r="B2785" t="s">
        <v>196</v>
      </c>
      <c r="C2785" s="8">
        <v>46258</v>
      </c>
      <c r="D2785" s="9">
        <v>39527</v>
      </c>
    </row>
    <row r="2786" spans="1:4">
      <c r="A2786" t="s">
        <v>5</v>
      </c>
      <c r="B2786" t="s">
        <v>167</v>
      </c>
      <c r="C2786" s="8">
        <v>46258</v>
      </c>
      <c r="D2786" s="9">
        <v>34692</v>
      </c>
    </row>
    <row r="2787" spans="1:4">
      <c r="A2787" t="s">
        <v>4</v>
      </c>
      <c r="B2787" t="s">
        <v>201</v>
      </c>
      <c r="C2787" s="8">
        <v>46259</v>
      </c>
      <c r="D2787" s="9">
        <v>34737</v>
      </c>
    </row>
    <row r="2788" spans="1:4">
      <c r="A2788" t="s">
        <v>25</v>
      </c>
      <c r="B2788" t="s">
        <v>126</v>
      </c>
      <c r="C2788" s="8">
        <v>46259</v>
      </c>
      <c r="D2788" s="9">
        <v>17634</v>
      </c>
    </row>
    <row r="2789" spans="1:4">
      <c r="A2789" t="s">
        <v>28</v>
      </c>
      <c r="B2789" t="s">
        <v>71</v>
      </c>
      <c r="C2789" s="8">
        <v>46259</v>
      </c>
      <c r="D2789" s="9">
        <v>18125</v>
      </c>
    </row>
    <row r="2790" spans="1:4">
      <c r="A2790" t="s">
        <v>7</v>
      </c>
      <c r="B2790" t="s">
        <v>100</v>
      </c>
      <c r="C2790" s="8">
        <v>46259</v>
      </c>
      <c r="D2790" s="9">
        <v>27467</v>
      </c>
    </row>
    <row r="2791" spans="1:4">
      <c r="A2791" t="s">
        <v>9</v>
      </c>
      <c r="B2791" t="s">
        <v>101</v>
      </c>
      <c r="C2791" s="8">
        <v>46259</v>
      </c>
      <c r="D2791" s="9">
        <v>34257</v>
      </c>
    </row>
    <row r="2792" spans="1:4">
      <c r="A2792" t="s">
        <v>9</v>
      </c>
      <c r="B2792" t="s">
        <v>91</v>
      </c>
      <c r="C2792" s="8">
        <v>46259</v>
      </c>
      <c r="D2792" s="9">
        <v>56919</v>
      </c>
    </row>
    <row r="2793" spans="1:4">
      <c r="A2793" t="s">
        <v>5</v>
      </c>
      <c r="B2793" t="s">
        <v>115</v>
      </c>
      <c r="C2793" s="8">
        <v>46259</v>
      </c>
      <c r="D2793" s="9">
        <v>41030</v>
      </c>
    </row>
    <row r="2794" spans="1:4">
      <c r="A2794" t="s">
        <v>5</v>
      </c>
      <c r="B2794" t="s">
        <v>184</v>
      </c>
      <c r="C2794" s="8">
        <v>46259</v>
      </c>
      <c r="D2794" s="9">
        <v>37472</v>
      </c>
    </row>
    <row r="2795" spans="1:4">
      <c r="A2795" t="s">
        <v>5</v>
      </c>
      <c r="B2795" t="s">
        <v>95</v>
      </c>
      <c r="C2795" s="8">
        <v>46259</v>
      </c>
      <c r="D2795" s="9">
        <v>32820</v>
      </c>
    </row>
    <row r="2796" spans="1:4">
      <c r="A2796" t="s">
        <v>5</v>
      </c>
      <c r="B2796" t="s">
        <v>190</v>
      </c>
      <c r="C2796" s="8">
        <v>46259</v>
      </c>
      <c r="D2796" s="9">
        <v>35953</v>
      </c>
    </row>
    <row r="2797" spans="1:4">
      <c r="A2797" t="s">
        <v>5</v>
      </c>
      <c r="B2797" t="s">
        <v>118</v>
      </c>
      <c r="C2797" s="8">
        <v>46259</v>
      </c>
      <c r="D2797" s="9">
        <v>25649</v>
      </c>
    </row>
    <row r="2798" spans="1:4">
      <c r="A2798" t="s">
        <v>4</v>
      </c>
      <c r="B2798" t="s">
        <v>230</v>
      </c>
      <c r="C2798" s="8">
        <v>46260</v>
      </c>
      <c r="D2798" s="9">
        <v>28579</v>
      </c>
    </row>
    <row r="2799" spans="1:4">
      <c r="A2799" t="s">
        <v>4</v>
      </c>
      <c r="B2799" t="s">
        <v>279</v>
      </c>
      <c r="C2799" s="8">
        <v>46260</v>
      </c>
      <c r="D2799" s="9">
        <v>44170</v>
      </c>
    </row>
    <row r="2800" spans="1:4">
      <c r="A2800" t="s">
        <v>28</v>
      </c>
      <c r="B2800" t="s">
        <v>222</v>
      </c>
      <c r="C2800" s="8">
        <v>46260</v>
      </c>
      <c r="D2800" s="9">
        <v>16823</v>
      </c>
    </row>
    <row r="2801" spans="1:4">
      <c r="A2801" t="s">
        <v>30</v>
      </c>
      <c r="B2801" t="s">
        <v>56</v>
      </c>
      <c r="C2801" s="8">
        <v>46260</v>
      </c>
      <c r="D2801" s="9">
        <v>15662</v>
      </c>
    </row>
    <row r="2802" spans="1:4">
      <c r="A2802" t="s">
        <v>8</v>
      </c>
      <c r="B2802" t="s">
        <v>266</v>
      </c>
      <c r="C2802" s="8">
        <v>46260</v>
      </c>
      <c r="D2802" s="9">
        <v>23356</v>
      </c>
    </row>
    <row r="2803" spans="1:4">
      <c r="A2803" t="s">
        <v>6</v>
      </c>
      <c r="B2803" t="s">
        <v>186</v>
      </c>
      <c r="C2803" s="8">
        <v>46260</v>
      </c>
      <c r="D2803" s="9">
        <v>15612</v>
      </c>
    </row>
    <row r="2804" spans="1:4">
      <c r="A2804" t="s">
        <v>6</v>
      </c>
      <c r="B2804" t="s">
        <v>177</v>
      </c>
      <c r="C2804" s="8">
        <v>46260</v>
      </c>
      <c r="D2804" s="9">
        <v>23240</v>
      </c>
    </row>
    <row r="2805" spans="1:4">
      <c r="A2805" t="s">
        <v>7</v>
      </c>
      <c r="B2805" t="s">
        <v>113</v>
      </c>
      <c r="C2805" s="8">
        <v>46260</v>
      </c>
      <c r="D2805" s="9">
        <v>33749</v>
      </c>
    </row>
    <row r="2806" spans="1:4">
      <c r="A2806" t="s">
        <v>9</v>
      </c>
      <c r="B2806" t="s">
        <v>178</v>
      </c>
      <c r="C2806" s="8">
        <v>46260</v>
      </c>
      <c r="D2806" s="9">
        <v>30557</v>
      </c>
    </row>
    <row r="2807" spans="1:4">
      <c r="A2807" t="s">
        <v>9</v>
      </c>
      <c r="B2807" t="s">
        <v>195</v>
      </c>
      <c r="C2807" s="8">
        <v>46260</v>
      </c>
      <c r="D2807" s="9">
        <v>41546</v>
      </c>
    </row>
    <row r="2808" spans="1:4">
      <c r="A2808" t="s">
        <v>9</v>
      </c>
      <c r="B2808" t="s">
        <v>195</v>
      </c>
      <c r="C2808" s="8">
        <v>46260</v>
      </c>
      <c r="D2808" s="9">
        <v>28950</v>
      </c>
    </row>
    <row r="2809" spans="1:4">
      <c r="A2809" t="s">
        <v>5</v>
      </c>
      <c r="B2809" t="s">
        <v>206</v>
      </c>
      <c r="C2809" s="8">
        <v>46260</v>
      </c>
      <c r="D2809" s="9">
        <v>44256</v>
      </c>
    </row>
    <row r="2810" spans="1:4">
      <c r="A2810" t="s">
        <v>5</v>
      </c>
      <c r="B2810" t="s">
        <v>132</v>
      </c>
      <c r="C2810" s="8">
        <v>46260</v>
      </c>
      <c r="D2810" s="9">
        <v>38419</v>
      </c>
    </row>
    <row r="2811" spans="1:4">
      <c r="A2811" t="s">
        <v>5</v>
      </c>
      <c r="B2811" t="s">
        <v>242</v>
      </c>
      <c r="C2811" s="8">
        <v>46260</v>
      </c>
      <c r="D2811" s="9">
        <v>39930</v>
      </c>
    </row>
    <row r="2812" spans="1:4">
      <c r="A2812" t="s">
        <v>5</v>
      </c>
      <c r="B2812" t="s">
        <v>95</v>
      </c>
      <c r="C2812" s="8">
        <v>46260</v>
      </c>
      <c r="D2812" s="9">
        <v>32565</v>
      </c>
    </row>
    <row r="2813" spans="1:4">
      <c r="A2813" t="s">
        <v>4</v>
      </c>
      <c r="B2813" t="s">
        <v>192</v>
      </c>
      <c r="C2813" s="8">
        <v>46261</v>
      </c>
      <c r="D2813" s="9">
        <v>36687</v>
      </c>
    </row>
    <row r="2814" spans="1:4">
      <c r="A2814" t="s">
        <v>4</v>
      </c>
      <c r="B2814" t="s">
        <v>119</v>
      </c>
      <c r="C2814" s="8">
        <v>46261</v>
      </c>
      <c r="D2814" s="9">
        <v>40428</v>
      </c>
    </row>
    <row r="2815" spans="1:4">
      <c r="A2815" t="s">
        <v>4</v>
      </c>
      <c r="B2815" t="s">
        <v>241</v>
      </c>
      <c r="C2815" s="8">
        <v>46261</v>
      </c>
      <c r="D2815" s="9">
        <v>42033</v>
      </c>
    </row>
    <row r="2816" spans="1:4">
      <c r="A2816" t="s">
        <v>9</v>
      </c>
      <c r="B2816" t="s">
        <v>110</v>
      </c>
      <c r="C2816" s="8">
        <v>46261</v>
      </c>
      <c r="D2816" s="9">
        <v>31608</v>
      </c>
    </row>
    <row r="2817" spans="1:4">
      <c r="A2817" t="s">
        <v>9</v>
      </c>
      <c r="B2817" t="s">
        <v>101</v>
      </c>
      <c r="C2817" s="8">
        <v>46261</v>
      </c>
      <c r="D2817" s="9">
        <v>22980</v>
      </c>
    </row>
    <row r="2818" spans="1:4">
      <c r="A2818" t="s">
        <v>9</v>
      </c>
      <c r="B2818" t="s">
        <v>242</v>
      </c>
      <c r="C2818" s="8">
        <v>46261</v>
      </c>
      <c r="D2818" s="9">
        <v>40167</v>
      </c>
    </row>
    <row r="2819" spans="1:4">
      <c r="A2819" t="s">
        <v>9</v>
      </c>
      <c r="B2819" t="s">
        <v>57</v>
      </c>
      <c r="C2819" s="8">
        <v>46261</v>
      </c>
      <c r="D2819" s="9">
        <v>27003</v>
      </c>
    </row>
    <row r="2820" spans="1:4">
      <c r="A2820" t="s">
        <v>5</v>
      </c>
      <c r="B2820" t="s">
        <v>138</v>
      </c>
      <c r="C2820" s="8">
        <v>46261</v>
      </c>
      <c r="D2820" s="9">
        <v>52289</v>
      </c>
    </row>
    <row r="2821" spans="1:4">
      <c r="A2821" t="s">
        <v>5</v>
      </c>
      <c r="B2821" t="s">
        <v>104</v>
      </c>
      <c r="C2821" s="8">
        <v>46261</v>
      </c>
      <c r="D2821" s="9">
        <v>44172</v>
      </c>
    </row>
    <row r="2822" spans="1:4">
      <c r="A2822" t="s">
        <v>5</v>
      </c>
      <c r="B2822" t="s">
        <v>190</v>
      </c>
      <c r="C2822" s="8">
        <v>46261</v>
      </c>
      <c r="D2822" s="9">
        <v>30601</v>
      </c>
    </row>
    <row r="2823" spans="1:4">
      <c r="A2823" t="s">
        <v>5</v>
      </c>
      <c r="B2823" t="s">
        <v>105</v>
      </c>
      <c r="C2823" s="8">
        <v>46261</v>
      </c>
      <c r="D2823" s="9">
        <v>63372</v>
      </c>
    </row>
    <row r="2824" spans="1:4">
      <c r="A2824" t="s">
        <v>4</v>
      </c>
      <c r="B2824" t="s">
        <v>260</v>
      </c>
      <c r="C2824" s="8">
        <v>46262</v>
      </c>
      <c r="D2824" s="9">
        <v>22826</v>
      </c>
    </row>
    <row r="2825" spans="1:4">
      <c r="A2825" t="s">
        <v>31</v>
      </c>
      <c r="B2825" t="s">
        <v>106</v>
      </c>
      <c r="C2825" s="8">
        <v>46262</v>
      </c>
      <c r="D2825" s="9">
        <v>15454</v>
      </c>
    </row>
    <row r="2826" spans="1:4">
      <c r="A2826" t="s">
        <v>25</v>
      </c>
      <c r="B2826" t="s">
        <v>120</v>
      </c>
      <c r="C2826" s="8">
        <v>46262</v>
      </c>
      <c r="D2826" s="9">
        <v>21777</v>
      </c>
    </row>
    <row r="2827" spans="1:4">
      <c r="A2827" t="s">
        <v>8</v>
      </c>
      <c r="B2827" t="s">
        <v>163</v>
      </c>
      <c r="C2827" s="8">
        <v>46262</v>
      </c>
      <c r="D2827" s="9">
        <v>13605</v>
      </c>
    </row>
    <row r="2828" spans="1:4">
      <c r="A2828" t="s">
        <v>32</v>
      </c>
      <c r="B2828" t="s">
        <v>233</v>
      </c>
      <c r="C2828" s="8">
        <v>46262</v>
      </c>
      <c r="D2828" s="9">
        <v>5200</v>
      </c>
    </row>
    <row r="2829" spans="1:4">
      <c r="A2829" t="s">
        <v>6</v>
      </c>
      <c r="B2829" t="s">
        <v>112</v>
      </c>
      <c r="C2829" s="8">
        <v>46262</v>
      </c>
      <c r="D2829" s="9">
        <v>15627</v>
      </c>
    </row>
    <row r="2830" spans="1:4">
      <c r="A2830" t="s">
        <v>6</v>
      </c>
      <c r="B2830" t="s">
        <v>217</v>
      </c>
      <c r="C2830" s="8">
        <v>46262</v>
      </c>
      <c r="D2830" s="9">
        <v>7999</v>
      </c>
    </row>
    <row r="2831" spans="1:4">
      <c r="A2831" t="s">
        <v>7</v>
      </c>
      <c r="B2831" t="s">
        <v>89</v>
      </c>
      <c r="C2831" s="8">
        <v>46262</v>
      </c>
      <c r="D2831" s="9">
        <v>27867</v>
      </c>
    </row>
    <row r="2832" spans="1:4">
      <c r="A2832" t="s">
        <v>9</v>
      </c>
      <c r="B2832" t="s">
        <v>187</v>
      </c>
      <c r="C2832" s="8">
        <v>46262</v>
      </c>
      <c r="D2832" s="9">
        <v>34804</v>
      </c>
    </row>
    <row r="2833" spans="1:4">
      <c r="A2833" t="s">
        <v>9</v>
      </c>
      <c r="B2833" t="s">
        <v>258</v>
      </c>
      <c r="C2833" s="8">
        <v>46262</v>
      </c>
      <c r="D2833" s="9">
        <v>32856</v>
      </c>
    </row>
    <row r="2834" spans="1:4">
      <c r="A2834" t="s">
        <v>9</v>
      </c>
      <c r="B2834" t="s">
        <v>166</v>
      </c>
      <c r="C2834" s="8">
        <v>46262</v>
      </c>
      <c r="D2834" s="9">
        <v>25961</v>
      </c>
    </row>
    <row r="2835" spans="1:4">
      <c r="A2835" t="s">
        <v>5</v>
      </c>
      <c r="B2835" t="s">
        <v>221</v>
      </c>
      <c r="C2835" s="8">
        <v>46262</v>
      </c>
      <c r="D2835" s="9">
        <v>46835</v>
      </c>
    </row>
    <row r="2836" spans="1:4">
      <c r="A2836" t="s">
        <v>5</v>
      </c>
      <c r="B2836" t="s">
        <v>80</v>
      </c>
      <c r="C2836" s="8">
        <v>46262</v>
      </c>
      <c r="D2836" s="9">
        <v>41304</v>
      </c>
    </row>
    <row r="2837" spans="1:4">
      <c r="A2837" t="s">
        <v>5</v>
      </c>
      <c r="B2837" t="s">
        <v>95</v>
      </c>
      <c r="C2837" s="8">
        <v>46262</v>
      </c>
      <c r="D2837" s="9">
        <v>39622</v>
      </c>
    </row>
    <row r="2838" spans="1:4">
      <c r="A2838" t="s">
        <v>5</v>
      </c>
      <c r="B2838" t="s">
        <v>146</v>
      </c>
      <c r="C2838" s="8">
        <v>46262</v>
      </c>
      <c r="D2838" s="9">
        <v>57048</v>
      </c>
    </row>
    <row r="2839" spans="1:4">
      <c r="A2839" t="s">
        <v>5</v>
      </c>
      <c r="B2839" t="s">
        <v>125</v>
      </c>
      <c r="C2839" s="8">
        <v>46262</v>
      </c>
      <c r="D2839" s="9">
        <v>47774</v>
      </c>
    </row>
    <row r="2840" spans="1:4">
      <c r="A2840" t="s">
        <v>38</v>
      </c>
      <c r="B2840" t="s">
        <v>69</v>
      </c>
      <c r="C2840" s="8">
        <v>46263</v>
      </c>
      <c r="D2840" s="9">
        <v>15317</v>
      </c>
    </row>
    <row r="2841" spans="1:4">
      <c r="A2841" t="s">
        <v>25</v>
      </c>
      <c r="B2841" t="s">
        <v>239</v>
      </c>
      <c r="C2841" s="8">
        <v>46263</v>
      </c>
      <c r="D2841" s="9">
        <v>16996</v>
      </c>
    </row>
    <row r="2842" spans="1:4">
      <c r="A2842" t="s">
        <v>9</v>
      </c>
      <c r="B2842" t="s">
        <v>172</v>
      </c>
      <c r="C2842" s="8">
        <v>46263</v>
      </c>
      <c r="D2842" s="9">
        <v>47102</v>
      </c>
    </row>
    <row r="2843" spans="1:4">
      <c r="A2843" t="s">
        <v>9</v>
      </c>
      <c r="B2843" t="s">
        <v>137</v>
      </c>
      <c r="C2843" s="8">
        <v>46263</v>
      </c>
      <c r="D2843" s="9">
        <v>26476</v>
      </c>
    </row>
    <row r="2844" spans="1:4">
      <c r="A2844" t="s">
        <v>5</v>
      </c>
      <c r="B2844" t="s">
        <v>62</v>
      </c>
      <c r="C2844" s="8">
        <v>46263</v>
      </c>
      <c r="D2844" s="9">
        <v>39580</v>
      </c>
    </row>
    <row r="2845" spans="1:4">
      <c r="A2845" t="s">
        <v>5</v>
      </c>
      <c r="B2845" t="s">
        <v>167</v>
      </c>
      <c r="C2845" s="8">
        <v>46263</v>
      </c>
      <c r="D2845" s="9">
        <v>40803</v>
      </c>
    </row>
    <row r="2846" spans="1:4">
      <c r="A2846" t="s">
        <v>5</v>
      </c>
      <c r="B2846" t="s">
        <v>146</v>
      </c>
      <c r="C2846" s="8">
        <v>46263</v>
      </c>
      <c r="D2846" s="9">
        <v>49238</v>
      </c>
    </row>
    <row r="2847" spans="1:4">
      <c r="A2847" t="s">
        <v>4</v>
      </c>
      <c r="B2847" t="s">
        <v>230</v>
      </c>
      <c r="C2847" s="8">
        <v>46264</v>
      </c>
      <c r="D2847" s="9">
        <v>29070</v>
      </c>
    </row>
    <row r="2848" spans="1:4">
      <c r="A2848" t="s">
        <v>4</v>
      </c>
      <c r="B2848" t="s">
        <v>198</v>
      </c>
      <c r="C2848" s="8">
        <v>46264</v>
      </c>
      <c r="D2848" s="9">
        <v>38572</v>
      </c>
    </row>
    <row r="2849" spans="1:4">
      <c r="A2849" t="s">
        <v>25</v>
      </c>
      <c r="B2849" t="s">
        <v>108</v>
      </c>
      <c r="C2849" s="8">
        <v>46264</v>
      </c>
      <c r="D2849" s="9">
        <v>17050</v>
      </c>
    </row>
    <row r="2850" spans="1:4">
      <c r="A2850" t="s">
        <v>26</v>
      </c>
      <c r="B2850" t="s">
        <v>97</v>
      </c>
      <c r="C2850" s="8">
        <v>46264</v>
      </c>
      <c r="D2850" s="9">
        <v>17581</v>
      </c>
    </row>
    <row r="2851" spans="1:4">
      <c r="A2851" t="s">
        <v>8</v>
      </c>
      <c r="B2851" t="s">
        <v>199</v>
      </c>
      <c r="C2851" s="8">
        <v>46264</v>
      </c>
      <c r="D2851" s="9">
        <v>19922</v>
      </c>
    </row>
    <row r="2852" spans="1:4">
      <c r="A2852" t="s">
        <v>29</v>
      </c>
      <c r="B2852" t="s">
        <v>274</v>
      </c>
      <c r="C2852" s="8">
        <v>46264</v>
      </c>
      <c r="D2852" s="9">
        <v>14747</v>
      </c>
    </row>
    <row r="2853" spans="1:4">
      <c r="A2853" t="s">
        <v>9</v>
      </c>
      <c r="B2853" t="s">
        <v>276</v>
      </c>
      <c r="C2853" s="8">
        <v>46264</v>
      </c>
      <c r="D2853" s="9">
        <v>37949</v>
      </c>
    </row>
    <row r="2854" spans="1:4">
      <c r="A2854" t="s">
        <v>5</v>
      </c>
      <c r="B2854" t="s">
        <v>93</v>
      </c>
      <c r="C2854" s="8">
        <v>46264</v>
      </c>
      <c r="D2854" s="9">
        <v>46158</v>
      </c>
    </row>
    <row r="2855" spans="1:4">
      <c r="A2855" t="s">
        <v>5</v>
      </c>
      <c r="B2855" t="s">
        <v>103</v>
      </c>
      <c r="C2855" s="8">
        <v>46264</v>
      </c>
      <c r="D2855" s="9">
        <v>46551</v>
      </c>
    </row>
    <row r="2856" spans="1:4">
      <c r="A2856" t="s">
        <v>5</v>
      </c>
      <c r="B2856" t="s">
        <v>117</v>
      </c>
      <c r="C2856" s="8">
        <v>46264</v>
      </c>
      <c r="D2856" s="9">
        <v>45610</v>
      </c>
    </row>
    <row r="2857" spans="1:4">
      <c r="A2857" t="s">
        <v>5</v>
      </c>
      <c r="B2857" t="s">
        <v>168</v>
      </c>
      <c r="C2857" s="8">
        <v>46264</v>
      </c>
      <c r="D2857" s="9">
        <v>33862</v>
      </c>
    </row>
    <row r="2858" spans="1:4">
      <c r="A2858" t="s">
        <v>5</v>
      </c>
      <c r="B2858" t="s">
        <v>205</v>
      </c>
      <c r="C2858" s="8">
        <v>46264</v>
      </c>
      <c r="D2858" s="9">
        <v>34447</v>
      </c>
    </row>
    <row r="2859" spans="1:4">
      <c r="A2859" t="s">
        <v>31</v>
      </c>
      <c r="B2859" t="s">
        <v>99</v>
      </c>
      <c r="C2859" s="8">
        <v>46265</v>
      </c>
      <c r="D2859" s="9">
        <v>16023</v>
      </c>
    </row>
    <row r="2860" spans="1:4">
      <c r="A2860" t="s">
        <v>26</v>
      </c>
      <c r="B2860" t="s">
        <v>278</v>
      </c>
      <c r="C2860" s="8">
        <v>46265</v>
      </c>
      <c r="D2860" s="9">
        <v>26933</v>
      </c>
    </row>
    <row r="2861" spans="1:4">
      <c r="A2861" t="s">
        <v>26</v>
      </c>
      <c r="B2861" t="s">
        <v>232</v>
      </c>
      <c r="C2861" s="8">
        <v>46265</v>
      </c>
      <c r="D2861" s="9">
        <v>18501</v>
      </c>
    </row>
    <row r="2862" spans="1:4">
      <c r="A2862" t="s">
        <v>29</v>
      </c>
      <c r="B2862" t="s">
        <v>68</v>
      </c>
      <c r="C2862" s="8">
        <v>46265</v>
      </c>
      <c r="D2862" s="9">
        <v>14616</v>
      </c>
    </row>
    <row r="2863" spans="1:4">
      <c r="A2863" t="s">
        <v>29</v>
      </c>
      <c r="B2863" t="s">
        <v>218</v>
      </c>
      <c r="C2863" s="8">
        <v>46265</v>
      </c>
      <c r="D2863" s="9">
        <v>14902</v>
      </c>
    </row>
    <row r="2864" spans="1:4">
      <c r="A2864" t="s">
        <v>9</v>
      </c>
      <c r="B2864" t="s">
        <v>145</v>
      </c>
      <c r="C2864" s="8">
        <v>46265</v>
      </c>
      <c r="D2864" s="9">
        <v>27386</v>
      </c>
    </row>
    <row r="2865" spans="1:4">
      <c r="A2865" t="s">
        <v>9</v>
      </c>
      <c r="B2865" t="s">
        <v>117</v>
      </c>
      <c r="C2865" s="8">
        <v>46265</v>
      </c>
      <c r="D2865" s="9">
        <v>39784</v>
      </c>
    </row>
    <row r="2866" spans="1:4">
      <c r="A2866" t="s">
        <v>5</v>
      </c>
      <c r="B2866" t="s">
        <v>104</v>
      </c>
      <c r="C2866" s="8">
        <v>46265</v>
      </c>
      <c r="D2866" s="9">
        <v>51668</v>
      </c>
    </row>
    <row r="2867" spans="1:4">
      <c r="A2867" t="s">
        <v>5</v>
      </c>
      <c r="B2867" t="s">
        <v>242</v>
      </c>
      <c r="C2867" s="8">
        <v>46265</v>
      </c>
      <c r="D2867" s="9">
        <v>43095</v>
      </c>
    </row>
    <row r="2868" spans="1:4">
      <c r="A2868" t="s">
        <v>5</v>
      </c>
      <c r="B2868" t="s">
        <v>174</v>
      </c>
      <c r="C2868" s="8">
        <v>46265</v>
      </c>
      <c r="D2868" s="9">
        <v>40513</v>
      </c>
    </row>
    <row r="2869" spans="1:4">
      <c r="A2869" t="s">
        <v>5</v>
      </c>
      <c r="B2869" t="s">
        <v>125</v>
      </c>
      <c r="C2869" s="8">
        <v>46265</v>
      </c>
      <c r="D2869" s="9">
        <v>41304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D27"/>
  <sheetViews>
    <sheetView workbookViewId="0">
      <selection activeCell="D14" sqref="D14"/>
    </sheetView>
  </sheetViews>
  <sheetFormatPr defaultRowHeight="15"/>
  <cols>
    <col min="1" max="1" width="7.42578125" customWidth="1"/>
    <col min="2" max="2" width="43.28515625" customWidth="1"/>
    <col min="3" max="4" width="12.5703125" customWidth="1"/>
  </cols>
  <sheetData>
    <row r="7" spans="1:4" ht="45">
      <c r="B7" s="2" t="s">
        <v>10</v>
      </c>
      <c r="C7" s="3" t="s">
        <v>11</v>
      </c>
      <c r="D7" s="3" t="s">
        <v>12</v>
      </c>
    </row>
    <row r="8" spans="1:4">
      <c r="A8">
        <v>1</v>
      </c>
      <c r="B8" s="4" t="s">
        <v>5</v>
      </c>
      <c r="C8" s="4" t="str">
        <f>VLOOKUP(B8,'ABC Менеджеры сумма'!$A$23:$J$42,10,0)</f>
        <v>A</v>
      </c>
      <c r="D8" s="4" t="str">
        <f>VLOOKUP(B8,'ABC Менеджеры сделки '!$A$23:$J$42,10,0)</f>
        <v>A</v>
      </c>
    </row>
    <row r="9" spans="1:4">
      <c r="A9">
        <v>2</v>
      </c>
      <c r="B9" s="4" t="s">
        <v>9</v>
      </c>
      <c r="C9" s="4" t="str">
        <f>VLOOKUP(B9,'ABC Менеджеры сумма'!$A$23:$J$42,10,0)</f>
        <v>A</v>
      </c>
      <c r="D9" s="4" t="str">
        <f>VLOOKUP(B9,'ABC Менеджеры сделки '!$A$23:$J$42,10,0)</f>
        <v>A</v>
      </c>
    </row>
    <row r="10" spans="1:4">
      <c r="A10">
        <v>3</v>
      </c>
      <c r="B10" s="4" t="s">
        <v>4</v>
      </c>
      <c r="C10" s="4" t="str">
        <f>VLOOKUP(B10,'ABC Менеджеры сумма'!$A$23:$J$42,10,0)</f>
        <v>A</v>
      </c>
      <c r="D10" s="4" t="str">
        <f>VLOOKUP(B10,'ABC Менеджеры сделки '!$A$23:$J$42,10,0)</f>
        <v>A</v>
      </c>
    </row>
    <row r="11" spans="1:4">
      <c r="A11">
        <v>4</v>
      </c>
      <c r="B11" s="4" t="s">
        <v>7</v>
      </c>
      <c r="C11" s="4" t="str">
        <f>VLOOKUP(B11,'ABC Менеджеры сумма'!$A$23:$J$42,10,0)</f>
        <v>A</v>
      </c>
      <c r="D11" s="4" t="str">
        <f>VLOOKUP(B11,'ABC Менеджеры сделки '!$A$23:$J$42,10,0)</f>
        <v>A</v>
      </c>
    </row>
    <row r="12" spans="1:4">
      <c r="A12">
        <v>5</v>
      </c>
      <c r="B12" s="4" t="s">
        <v>6</v>
      </c>
      <c r="C12" s="4" t="str">
        <f>VLOOKUP(B12,'ABC Менеджеры сумма'!$A$23:$J$42,10,0)</f>
        <v>B</v>
      </c>
      <c r="D12" s="4" t="str">
        <f>VLOOKUP(B12,'ABC Менеджеры сделки '!$A$23:$J$42,10,0)</f>
        <v>A</v>
      </c>
    </row>
    <row r="13" spans="1:4">
      <c r="A13">
        <v>6</v>
      </c>
      <c r="B13" s="4" t="s">
        <v>8</v>
      </c>
      <c r="C13" s="4" t="str">
        <f>VLOOKUP(B13,'ABC Менеджеры сумма'!$A$23:$J$42,10,0)</f>
        <v>B</v>
      </c>
      <c r="D13" s="4" t="str">
        <f>VLOOKUP(B13,'ABC Менеджеры сделки '!$A$23:$J$42,10,0)</f>
        <v>B</v>
      </c>
    </row>
    <row r="14" spans="1:4">
      <c r="A14">
        <v>7</v>
      </c>
      <c r="B14" s="4" t="s">
        <v>25</v>
      </c>
      <c r="C14" s="4" t="str">
        <f>VLOOKUP(B14,'ABC Менеджеры сумма'!$A$23:$J$42,10,0)</f>
        <v>B</v>
      </c>
      <c r="D14" s="4" t="str">
        <f>VLOOKUP(B14,'ABC Менеджеры сделки '!$A$23:$J$42,10,0)</f>
        <v>B</v>
      </c>
    </row>
    <row r="15" spans="1:4">
      <c r="A15">
        <v>8</v>
      </c>
      <c r="B15" s="4" t="s">
        <v>26</v>
      </c>
      <c r="C15" s="4" t="str">
        <f>VLOOKUP(B15,'ABC Менеджеры сумма'!$A$23:$J$42,10,0)</f>
        <v>B</v>
      </c>
      <c r="D15" s="4" t="str">
        <f>VLOOKUP(B15,'ABC Менеджеры сделки '!$A$23:$J$42,10,0)</f>
        <v>B</v>
      </c>
    </row>
    <row r="16" spans="1:4">
      <c r="A16">
        <v>9</v>
      </c>
      <c r="B16" s="4" t="s">
        <v>27</v>
      </c>
      <c r="C16" s="4" t="str">
        <f>VLOOKUP(B16,'ABC Менеджеры сумма'!$A$23:$J$42,10,0)</f>
        <v>B</v>
      </c>
      <c r="D16" s="4" t="str">
        <f>VLOOKUP(B16,'ABC Менеджеры сделки '!$A$23:$J$42,10,0)</f>
        <v>B</v>
      </c>
    </row>
    <row r="17" spans="1:4">
      <c r="A17">
        <v>10</v>
      </c>
      <c r="B17" s="4" t="s">
        <v>28</v>
      </c>
      <c r="C17" s="4" t="str">
        <f>VLOOKUP(B17,'ABC Менеджеры сумма'!$A$23:$J$42,10,0)</f>
        <v>C</v>
      </c>
      <c r="D17" s="4" t="str">
        <f>VLOOKUP(B17,'ABC Менеджеры сделки '!$A$23:$J$42,10,0)</f>
        <v>B</v>
      </c>
    </row>
    <row r="18" spans="1:4">
      <c r="A18">
        <v>11</v>
      </c>
      <c r="B18" s="4" t="s">
        <v>29</v>
      </c>
      <c r="C18" s="4" t="str">
        <f>VLOOKUP(B18,'ABC Менеджеры сумма'!$A$23:$J$42,10,0)</f>
        <v>B</v>
      </c>
      <c r="D18" s="4" t="str">
        <f>VLOOKUP(B18,'ABC Менеджеры сделки '!$A$23:$J$42,10,0)</f>
        <v>B</v>
      </c>
    </row>
    <row r="19" spans="1:4">
      <c r="A19">
        <v>12</v>
      </c>
      <c r="B19" s="4" t="s">
        <v>30</v>
      </c>
      <c r="C19" s="4" t="str">
        <f>VLOOKUP(B19,'ABC Менеджеры сумма'!$A$23:$J$42,10,0)</f>
        <v>C</v>
      </c>
      <c r="D19" s="4" t="str">
        <f>VLOOKUP(B19,'ABC Менеджеры сделки '!$A$23:$J$42,10,0)</f>
        <v>B</v>
      </c>
    </row>
    <row r="20" spans="1:4">
      <c r="B20" s="4" t="s">
        <v>31</v>
      </c>
      <c r="C20" s="4" t="str">
        <f>VLOOKUP(B20,'ABC Менеджеры сумма'!$A$23:$J$42,10,0)</f>
        <v>C</v>
      </c>
      <c r="D20" s="4" t="str">
        <f>VLOOKUP(B20,'ABC Менеджеры сделки '!$A$23:$J$42,10,0)</f>
        <v>C</v>
      </c>
    </row>
    <row r="21" spans="1:4">
      <c r="B21" s="4" t="s">
        <v>32</v>
      </c>
      <c r="C21" s="4" t="str">
        <f>VLOOKUP(B21,'ABC Менеджеры сумма'!$A$23:$J$42,10,0)</f>
        <v>C</v>
      </c>
      <c r="D21" s="4" t="str">
        <f>VLOOKUP(B21,'ABC Менеджеры сделки '!$A$23:$J$42,10,0)</f>
        <v>C</v>
      </c>
    </row>
    <row r="22" spans="1:4">
      <c r="B22" s="4" t="s">
        <v>33</v>
      </c>
      <c r="C22" s="4" t="str">
        <f>VLOOKUP(B22,'ABC Менеджеры сумма'!$A$23:$J$42,10,0)</f>
        <v>C</v>
      </c>
      <c r="D22" s="4" t="str">
        <f>VLOOKUP(B22,'ABC Менеджеры сделки '!$A$23:$J$42,10,0)</f>
        <v>C</v>
      </c>
    </row>
    <row r="23" spans="1:4">
      <c r="B23" s="4" t="s">
        <v>34</v>
      </c>
      <c r="C23" s="4" t="str">
        <f>VLOOKUP(B23,'ABC Менеджеры сумма'!$A$23:$J$42,10,0)</f>
        <v>C</v>
      </c>
      <c r="D23" s="4" t="str">
        <f>VLOOKUP(B23,'ABC Менеджеры сделки '!$A$23:$J$42,10,0)</f>
        <v>C</v>
      </c>
    </row>
    <row r="24" spans="1:4">
      <c r="B24" s="4" t="s">
        <v>35</v>
      </c>
      <c r="C24" s="4" t="str">
        <f>VLOOKUP(B24,'ABC Менеджеры сумма'!$A$23:$J$42,10,0)</f>
        <v>C</v>
      </c>
      <c r="D24" s="4" t="str">
        <f>VLOOKUP(B24,'ABC Менеджеры сделки '!$A$23:$J$42,10,0)</f>
        <v>C</v>
      </c>
    </row>
    <row r="25" spans="1:4">
      <c r="B25" s="4" t="s">
        <v>36</v>
      </c>
      <c r="C25" s="4" t="str">
        <f>VLOOKUP(B25,'ABC Менеджеры сумма'!$A$23:$J$42,10,0)</f>
        <v>C</v>
      </c>
      <c r="D25" s="4" t="str">
        <f>VLOOKUP(B25,'ABC Менеджеры сделки '!$A$23:$J$42,10,0)</f>
        <v>C</v>
      </c>
    </row>
    <row r="26" spans="1:4">
      <c r="B26" s="4" t="s">
        <v>37</v>
      </c>
      <c r="C26" s="4" t="str">
        <f>VLOOKUP(B26,'ABC Менеджеры сумма'!$A$23:$J$42,10,0)</f>
        <v>C</v>
      </c>
      <c r="D26" s="4" t="str">
        <f>VLOOKUP(B26,'ABC Менеджеры сделки '!$A$23:$J$42,10,0)</f>
        <v>C</v>
      </c>
    </row>
    <row r="27" spans="1:4">
      <c r="B27" s="4" t="s">
        <v>38</v>
      </c>
      <c r="C27" s="4" t="str">
        <f>VLOOKUP(B27,'ABC Менеджеры сумма'!$A$23:$J$42,10,0)</f>
        <v>C</v>
      </c>
      <c r="D27" s="4" t="str">
        <f>VLOOKUP(B27,'ABC Менеджеры сделки '!$A$23:$J$42,10,0)</f>
        <v>C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8"/>
  <sheetViews>
    <sheetView tabSelected="1" workbookViewId="0">
      <selection activeCell="M34" sqref="M34"/>
    </sheetView>
  </sheetViews>
  <sheetFormatPr defaultRowHeight="15"/>
  <cols>
    <col min="1" max="1" width="32" customWidth="1"/>
    <col min="2" max="2" width="9.140625" customWidth="1"/>
    <col min="4" max="4" width="9.140625" customWidth="1"/>
    <col min="7" max="11" width="9.140625" customWidth="1"/>
  </cols>
  <sheetData>
    <row r="1" spans="1:16">
      <c r="A1" s="4" t="s">
        <v>16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  <c r="I1" s="4" t="s">
        <v>46</v>
      </c>
      <c r="J1" s="5" t="s">
        <v>17</v>
      </c>
      <c r="K1" s="5" t="s">
        <v>18</v>
      </c>
    </row>
    <row r="2" spans="1:16">
      <c r="A2" s="4" t="s">
        <v>153</v>
      </c>
      <c r="B2" s="4">
        <v>11346</v>
      </c>
      <c r="C2" s="4">
        <v>29016</v>
      </c>
      <c r="D2" s="4">
        <v>12936</v>
      </c>
      <c r="E2" s="4">
        <v>30229</v>
      </c>
      <c r="F2" s="4">
        <v>29529</v>
      </c>
      <c r="G2" s="4">
        <v>12374</v>
      </c>
      <c r="H2" s="4">
        <v>14739</v>
      </c>
      <c r="I2" s="4">
        <v>13610</v>
      </c>
      <c r="J2" s="6" t="s">
        <v>14</v>
      </c>
      <c r="K2" s="6" t="s">
        <v>19</v>
      </c>
    </row>
    <row r="3" spans="1:16">
      <c r="A3" s="4" t="s">
        <v>115</v>
      </c>
      <c r="B3" s="4">
        <v>199077</v>
      </c>
      <c r="C3" s="4">
        <v>179044</v>
      </c>
      <c r="D3" s="4">
        <v>166681</v>
      </c>
      <c r="E3" s="4">
        <v>217306</v>
      </c>
      <c r="F3" s="4">
        <v>44465</v>
      </c>
      <c r="G3" s="4">
        <v>205947</v>
      </c>
      <c r="H3" s="4">
        <v>23060</v>
      </c>
      <c r="I3" s="4">
        <v>83302</v>
      </c>
      <c r="J3" s="6" t="s">
        <v>13</v>
      </c>
      <c r="K3" s="6" t="s">
        <v>19</v>
      </c>
    </row>
    <row r="4" spans="1:16">
      <c r="A4" s="4" t="s">
        <v>229</v>
      </c>
      <c r="B4" s="4">
        <v>44121</v>
      </c>
      <c r="C4" s="4">
        <v>47713</v>
      </c>
      <c r="D4" s="4">
        <v>40158</v>
      </c>
      <c r="E4" s="4">
        <v>31834</v>
      </c>
      <c r="F4" s="4">
        <v>37670</v>
      </c>
      <c r="G4" s="4">
        <v>45281</v>
      </c>
      <c r="H4" s="4">
        <v>52687</v>
      </c>
      <c r="I4" s="4">
        <v>32523</v>
      </c>
      <c r="J4" s="6" t="s">
        <v>13</v>
      </c>
      <c r="K4" s="6" t="s">
        <v>20</v>
      </c>
    </row>
    <row r="5" spans="1:16">
      <c r="A5" s="4" t="s">
        <v>111</v>
      </c>
      <c r="B5" s="4">
        <v>11600</v>
      </c>
      <c r="C5" s="4">
        <v>24740</v>
      </c>
      <c r="D5" s="4">
        <v>6042</v>
      </c>
      <c r="E5" s="4">
        <v>28708</v>
      </c>
      <c r="F5" s="4">
        <v>31107</v>
      </c>
      <c r="G5" s="4">
        <v>5200</v>
      </c>
      <c r="H5" s="4">
        <v>5200</v>
      </c>
      <c r="I5" s="4">
        <v>12538</v>
      </c>
      <c r="J5" s="6" t="s">
        <v>15</v>
      </c>
      <c r="K5" s="6" t="s">
        <v>19</v>
      </c>
    </row>
    <row r="6" spans="1:16">
      <c r="A6" s="4" t="s">
        <v>64</v>
      </c>
      <c r="B6" s="4">
        <v>11790</v>
      </c>
      <c r="C6" s="4">
        <v>16589</v>
      </c>
      <c r="D6" s="4">
        <v>13021</v>
      </c>
      <c r="E6" s="4">
        <v>19242</v>
      </c>
      <c r="F6" s="4">
        <v>11971</v>
      </c>
      <c r="G6" s="4">
        <v>16674</v>
      </c>
      <c r="H6" s="4">
        <v>10480</v>
      </c>
      <c r="I6" s="4">
        <v>12103</v>
      </c>
      <c r="J6" s="6" t="s">
        <v>15</v>
      </c>
      <c r="K6" s="6" t="s">
        <v>20</v>
      </c>
    </row>
    <row r="7" spans="1:16">
      <c r="A7" s="4" t="s">
        <v>96</v>
      </c>
      <c r="B7" s="4">
        <v>40834</v>
      </c>
      <c r="C7" s="4">
        <v>265295</v>
      </c>
      <c r="D7" s="4">
        <v>58139</v>
      </c>
      <c r="E7" s="4">
        <v>59790</v>
      </c>
      <c r="F7" s="4">
        <v>205914</v>
      </c>
      <c r="G7" s="4">
        <v>292064</v>
      </c>
      <c r="H7" s="4">
        <v>205541</v>
      </c>
      <c r="I7" s="4">
        <v>27664</v>
      </c>
      <c r="J7" s="6" t="s">
        <v>13</v>
      </c>
      <c r="K7" s="6" t="s">
        <v>19</v>
      </c>
    </row>
    <row r="8" spans="1:16">
      <c r="A8" s="4" t="s">
        <v>271</v>
      </c>
      <c r="B8" s="4">
        <v>24852</v>
      </c>
      <c r="C8" s="4">
        <v>10255</v>
      </c>
      <c r="D8" s="4">
        <v>26586</v>
      </c>
      <c r="E8" s="4">
        <v>8432</v>
      </c>
      <c r="F8" s="4">
        <v>56968</v>
      </c>
      <c r="G8" s="4">
        <v>69221</v>
      </c>
      <c r="H8" s="4">
        <v>22526</v>
      </c>
      <c r="I8" s="4">
        <v>7027</v>
      </c>
      <c r="J8" s="6" t="s">
        <v>14</v>
      </c>
      <c r="K8" s="6" t="s">
        <v>19</v>
      </c>
    </row>
    <row r="9" spans="1:16">
      <c r="A9" s="4" t="s">
        <v>269</v>
      </c>
      <c r="B9" s="4">
        <v>14987</v>
      </c>
      <c r="C9" s="4">
        <v>23285</v>
      </c>
      <c r="D9" s="4">
        <v>117815</v>
      </c>
      <c r="E9" s="4">
        <v>15970</v>
      </c>
      <c r="F9" s="4">
        <v>25518</v>
      </c>
      <c r="G9" s="4">
        <v>107798</v>
      </c>
      <c r="H9" s="4">
        <v>48383</v>
      </c>
      <c r="I9" s="4">
        <v>113926</v>
      </c>
      <c r="J9" s="6" t="s">
        <v>13</v>
      </c>
      <c r="K9" s="6" t="s">
        <v>19</v>
      </c>
    </row>
    <row r="10" spans="1:16">
      <c r="A10" s="4" t="s">
        <v>220</v>
      </c>
      <c r="B10" s="4">
        <v>23748</v>
      </c>
      <c r="C10" s="4">
        <v>23505</v>
      </c>
      <c r="D10" s="4">
        <v>25501</v>
      </c>
      <c r="E10" s="4">
        <v>24301</v>
      </c>
      <c r="F10" s="4">
        <v>25310</v>
      </c>
      <c r="G10" s="4">
        <v>24818</v>
      </c>
      <c r="H10" s="4">
        <v>24932</v>
      </c>
      <c r="I10" s="4">
        <v>24713</v>
      </c>
      <c r="J10" s="6" t="s">
        <v>14</v>
      </c>
      <c r="K10" s="6" t="s">
        <v>21</v>
      </c>
    </row>
    <row r="11" spans="1:16">
      <c r="A11" s="4" t="s">
        <v>110</v>
      </c>
      <c r="B11" s="4">
        <v>113476</v>
      </c>
      <c r="C11" s="4">
        <v>152777</v>
      </c>
      <c r="D11" s="4">
        <v>99784</v>
      </c>
      <c r="E11" s="4">
        <v>126860</v>
      </c>
      <c r="F11" s="4">
        <v>95936</v>
      </c>
      <c r="G11" s="4">
        <v>106011</v>
      </c>
      <c r="H11" s="4">
        <v>129384</v>
      </c>
      <c r="I11" s="4">
        <v>150467</v>
      </c>
      <c r="J11" s="6" t="s">
        <v>13</v>
      </c>
      <c r="K11" s="6" t="s">
        <v>20</v>
      </c>
    </row>
    <row r="12" spans="1:16">
      <c r="A12" s="4" t="s">
        <v>133</v>
      </c>
      <c r="B12" s="4">
        <v>21859</v>
      </c>
      <c r="C12" s="4">
        <v>60251</v>
      </c>
      <c r="D12" s="4">
        <v>73849</v>
      </c>
      <c r="E12" s="4">
        <v>83579</v>
      </c>
      <c r="F12" s="4">
        <v>28628</v>
      </c>
      <c r="G12" s="4">
        <v>7329</v>
      </c>
      <c r="H12" s="4">
        <v>12475</v>
      </c>
      <c r="I12" s="4">
        <v>15218</v>
      </c>
      <c r="J12" s="6" t="s">
        <v>13</v>
      </c>
      <c r="K12" s="6" t="s">
        <v>19</v>
      </c>
    </row>
    <row r="13" spans="1:16">
      <c r="A13" s="4" t="s">
        <v>239</v>
      </c>
      <c r="B13" s="4">
        <v>20860</v>
      </c>
      <c r="C13" s="4">
        <v>14871</v>
      </c>
      <c r="D13" s="4">
        <v>15524</v>
      </c>
      <c r="E13" s="4">
        <v>24994</v>
      </c>
      <c r="F13" s="4">
        <v>25711</v>
      </c>
      <c r="G13" s="4">
        <v>24975</v>
      </c>
      <c r="H13" s="4">
        <v>14235</v>
      </c>
      <c r="I13" s="4">
        <v>16996</v>
      </c>
      <c r="J13" s="6" t="s">
        <v>14</v>
      </c>
      <c r="K13" s="6" t="s">
        <v>20</v>
      </c>
      <c r="M13" t="s">
        <v>22</v>
      </c>
    </row>
    <row r="14" spans="1:16">
      <c r="A14" s="4" t="s">
        <v>144</v>
      </c>
      <c r="B14" s="4">
        <v>54966</v>
      </c>
      <c r="C14" s="4">
        <v>72053</v>
      </c>
      <c r="D14" s="4">
        <v>43576</v>
      </c>
      <c r="E14" s="4">
        <v>65556</v>
      </c>
      <c r="F14" s="4">
        <v>49239</v>
      </c>
      <c r="G14" s="4">
        <v>67108</v>
      </c>
      <c r="H14" s="4">
        <v>62297</v>
      </c>
      <c r="I14" s="4">
        <v>64054</v>
      </c>
      <c r="J14" s="6" t="s">
        <v>13</v>
      </c>
      <c r="K14" s="6" t="s">
        <v>20</v>
      </c>
      <c r="M14" t="s">
        <v>23</v>
      </c>
    </row>
    <row r="15" spans="1:16">
      <c r="A15" s="4" t="s">
        <v>58</v>
      </c>
      <c r="B15" s="4">
        <v>12933</v>
      </c>
      <c r="C15" s="4">
        <v>9957</v>
      </c>
      <c r="D15" s="4">
        <v>13278</v>
      </c>
      <c r="E15" s="4">
        <v>12341</v>
      </c>
      <c r="F15" s="4">
        <v>11214</v>
      </c>
      <c r="G15" s="4">
        <v>10900</v>
      </c>
      <c r="H15" s="4">
        <v>14147</v>
      </c>
      <c r="I15" s="4">
        <v>17070</v>
      </c>
      <c r="J15" s="6" t="s">
        <v>15</v>
      </c>
      <c r="K15" s="6" t="s">
        <v>20</v>
      </c>
      <c r="M15" s="4"/>
      <c r="N15" s="4" t="s">
        <v>21</v>
      </c>
      <c r="O15" s="4" t="s">
        <v>20</v>
      </c>
      <c r="P15" s="4" t="s">
        <v>19</v>
      </c>
    </row>
    <row r="16" spans="1:16">
      <c r="A16" s="4" t="s">
        <v>72</v>
      </c>
      <c r="B16" s="4">
        <v>21995</v>
      </c>
      <c r="C16" s="4">
        <v>21096</v>
      </c>
      <c r="D16" s="4">
        <v>20657</v>
      </c>
      <c r="E16" s="4">
        <v>21111</v>
      </c>
      <c r="F16" s="4">
        <v>21948</v>
      </c>
      <c r="G16" s="4">
        <v>21750</v>
      </c>
      <c r="H16" s="4">
        <v>21329</v>
      </c>
      <c r="I16" s="4">
        <v>22046</v>
      </c>
      <c r="J16" s="6" t="s">
        <v>14</v>
      </c>
      <c r="K16" s="6" t="s">
        <v>21</v>
      </c>
      <c r="M16" s="4" t="s">
        <v>13</v>
      </c>
      <c r="N16" s="4">
        <v>48</v>
      </c>
      <c r="O16" s="4">
        <v>35</v>
      </c>
      <c r="P16" s="4">
        <v>36</v>
      </c>
    </row>
    <row r="17" spans="1:16">
      <c r="A17" s="4" t="s">
        <v>124</v>
      </c>
      <c r="B17" s="4">
        <v>87056</v>
      </c>
      <c r="C17" s="4">
        <v>87799</v>
      </c>
      <c r="D17" s="4">
        <v>84476</v>
      </c>
      <c r="E17" s="4">
        <v>87166</v>
      </c>
      <c r="F17" s="4">
        <v>87901</v>
      </c>
      <c r="G17" s="4">
        <v>86998</v>
      </c>
      <c r="H17" s="4">
        <v>86769</v>
      </c>
      <c r="I17" s="4">
        <v>86563</v>
      </c>
      <c r="J17" s="6" t="s">
        <v>13</v>
      </c>
      <c r="K17" s="6" t="s">
        <v>21</v>
      </c>
      <c r="M17" s="4" t="s">
        <v>14</v>
      </c>
      <c r="N17" s="4">
        <v>36</v>
      </c>
      <c r="O17" s="4">
        <v>18</v>
      </c>
      <c r="P17" s="4">
        <v>25</v>
      </c>
    </row>
    <row r="18" spans="1:16">
      <c r="A18" s="4" t="s">
        <v>189</v>
      </c>
      <c r="B18" s="4">
        <v>22111</v>
      </c>
      <c r="C18" s="4">
        <v>56665</v>
      </c>
      <c r="D18" s="4">
        <v>19405</v>
      </c>
      <c r="E18" s="4">
        <v>7875</v>
      </c>
      <c r="F18" s="4">
        <v>55065</v>
      </c>
      <c r="G18" s="4">
        <v>11759</v>
      </c>
      <c r="H18" s="4">
        <v>26289</v>
      </c>
      <c r="I18" s="4">
        <v>23318</v>
      </c>
      <c r="J18" s="6" t="s">
        <v>14</v>
      </c>
      <c r="K18" s="6" t="s">
        <v>19</v>
      </c>
      <c r="M18" s="4" t="s">
        <v>15</v>
      </c>
      <c r="N18" s="4">
        <v>15</v>
      </c>
      <c r="O18" s="4">
        <v>13</v>
      </c>
      <c r="P18" s="4">
        <v>11</v>
      </c>
    </row>
    <row r="19" spans="1:16">
      <c r="A19" s="4" t="s">
        <v>106</v>
      </c>
      <c r="B19" s="4">
        <v>10474</v>
      </c>
      <c r="C19" s="4">
        <v>9867</v>
      </c>
      <c r="D19" s="4">
        <v>13108</v>
      </c>
      <c r="E19" s="4">
        <v>12051</v>
      </c>
      <c r="F19" s="4">
        <v>11023</v>
      </c>
      <c r="G19" s="4">
        <v>12785</v>
      </c>
      <c r="H19" s="4">
        <v>10673</v>
      </c>
      <c r="I19" s="4">
        <v>15454</v>
      </c>
      <c r="J19" s="6" t="s">
        <v>15</v>
      </c>
      <c r="K19" s="6" t="s">
        <v>20</v>
      </c>
    </row>
    <row r="20" spans="1:16">
      <c r="A20" s="4" t="s">
        <v>101</v>
      </c>
      <c r="B20" s="4">
        <v>17798</v>
      </c>
      <c r="C20" s="4">
        <v>40716</v>
      </c>
      <c r="D20" s="4">
        <v>52177</v>
      </c>
      <c r="E20" s="4">
        <v>45209</v>
      </c>
      <c r="F20" s="4">
        <v>42155</v>
      </c>
      <c r="G20" s="4">
        <v>23725</v>
      </c>
      <c r="H20" s="4">
        <v>127970</v>
      </c>
      <c r="I20" s="4">
        <v>118167</v>
      </c>
      <c r="J20" s="6" t="s">
        <v>13</v>
      </c>
      <c r="K20" s="6" t="s">
        <v>19</v>
      </c>
      <c r="M20" t="s">
        <v>24</v>
      </c>
    </row>
    <row r="21" spans="1:16">
      <c r="A21" s="4" t="s">
        <v>67</v>
      </c>
      <c r="B21" s="4">
        <v>15830</v>
      </c>
      <c r="C21" s="4">
        <v>16165</v>
      </c>
      <c r="D21" s="4">
        <v>15472</v>
      </c>
      <c r="E21" s="4">
        <v>16321</v>
      </c>
      <c r="F21" s="4">
        <v>16595</v>
      </c>
      <c r="G21" s="4">
        <v>15418</v>
      </c>
      <c r="H21" s="4">
        <v>16582</v>
      </c>
      <c r="I21" s="4">
        <v>16086</v>
      </c>
      <c r="J21" s="6" t="s">
        <v>14</v>
      </c>
      <c r="K21" s="6" t="s">
        <v>21</v>
      </c>
      <c r="M21" s="4"/>
      <c r="N21" s="4" t="s">
        <v>21</v>
      </c>
      <c r="O21" s="4" t="s">
        <v>20</v>
      </c>
      <c r="P21" s="4" t="s">
        <v>19</v>
      </c>
    </row>
    <row r="22" spans="1:16">
      <c r="A22" s="4" t="s">
        <v>219</v>
      </c>
      <c r="B22" s="4">
        <v>17482</v>
      </c>
      <c r="C22" s="4">
        <v>6287</v>
      </c>
      <c r="D22" s="4">
        <v>15261</v>
      </c>
      <c r="E22" s="4">
        <v>39764</v>
      </c>
      <c r="F22" s="4">
        <v>11331</v>
      </c>
      <c r="G22" s="4">
        <v>12933</v>
      </c>
      <c r="H22" s="4">
        <v>7355</v>
      </c>
      <c r="I22" s="4">
        <v>13860</v>
      </c>
      <c r="J22" s="6" t="s">
        <v>15</v>
      </c>
      <c r="K22" s="6" t="s">
        <v>19</v>
      </c>
      <c r="M22" s="4" t="s">
        <v>13</v>
      </c>
      <c r="N22" s="4">
        <v>28836879</v>
      </c>
      <c r="O22" s="4">
        <v>20449831</v>
      </c>
      <c r="P22" s="4">
        <v>22137341</v>
      </c>
    </row>
    <row r="23" spans="1:16">
      <c r="A23" s="4" t="s">
        <v>107</v>
      </c>
      <c r="B23" s="4">
        <v>12581</v>
      </c>
      <c r="C23" s="4">
        <v>12087</v>
      </c>
      <c r="D23" s="4">
        <v>26770</v>
      </c>
      <c r="E23" s="4">
        <v>6008</v>
      </c>
      <c r="F23" s="4">
        <v>30491</v>
      </c>
      <c r="G23" s="4">
        <v>6218</v>
      </c>
      <c r="H23" s="4">
        <v>27803</v>
      </c>
      <c r="I23" s="4">
        <v>5200</v>
      </c>
      <c r="J23" s="6" t="s">
        <v>14</v>
      </c>
      <c r="K23" s="6" t="s">
        <v>19</v>
      </c>
      <c r="M23" s="4" t="s">
        <v>14</v>
      </c>
      <c r="N23" s="4">
        <v>6104060</v>
      </c>
      <c r="O23" s="4">
        <v>3018312</v>
      </c>
      <c r="P23" s="4">
        <v>4331770</v>
      </c>
    </row>
    <row r="24" spans="1:16">
      <c r="A24" s="4" t="s">
        <v>87</v>
      </c>
      <c r="B24" s="4">
        <v>13729</v>
      </c>
      <c r="C24" s="4">
        <v>14605</v>
      </c>
      <c r="D24" s="4">
        <v>14139</v>
      </c>
      <c r="E24" s="4">
        <v>14570</v>
      </c>
      <c r="F24" s="4">
        <v>14248</v>
      </c>
      <c r="G24" s="4">
        <v>13816</v>
      </c>
      <c r="H24" s="4">
        <v>13702</v>
      </c>
      <c r="I24" s="4">
        <v>14107</v>
      </c>
      <c r="J24" s="6" t="s">
        <v>15</v>
      </c>
      <c r="K24" s="6" t="s">
        <v>21</v>
      </c>
      <c r="M24" s="4" t="s">
        <v>15</v>
      </c>
      <c r="N24" s="4">
        <v>1748728</v>
      </c>
      <c r="O24" s="4">
        <v>1513119</v>
      </c>
      <c r="P24" s="4">
        <v>1259416</v>
      </c>
    </row>
    <row r="25" spans="1:16">
      <c r="A25" s="4" t="s">
        <v>270</v>
      </c>
      <c r="B25" s="4">
        <v>15919</v>
      </c>
      <c r="C25" s="4">
        <v>15339</v>
      </c>
      <c r="D25" s="4">
        <v>15480</v>
      </c>
      <c r="E25" s="4">
        <v>15731</v>
      </c>
      <c r="F25" s="4">
        <v>15238</v>
      </c>
      <c r="G25" s="4">
        <v>15747</v>
      </c>
      <c r="H25" s="4">
        <v>15992</v>
      </c>
      <c r="I25" s="4">
        <v>16498</v>
      </c>
      <c r="J25" s="6" t="s">
        <v>15</v>
      </c>
      <c r="K25" s="6" t="s">
        <v>21</v>
      </c>
    </row>
    <row r="26" spans="1:16">
      <c r="A26" s="4" t="s">
        <v>250</v>
      </c>
      <c r="B26" s="4">
        <v>20467</v>
      </c>
      <c r="C26" s="4">
        <v>19897</v>
      </c>
      <c r="D26" s="4">
        <v>20154</v>
      </c>
      <c r="E26" s="4">
        <v>20553</v>
      </c>
      <c r="F26" s="4">
        <v>19190</v>
      </c>
      <c r="G26" s="4">
        <v>19352</v>
      </c>
      <c r="H26" s="4">
        <v>19148</v>
      </c>
      <c r="I26" s="4">
        <v>18965</v>
      </c>
      <c r="J26" s="6" t="s">
        <v>14</v>
      </c>
      <c r="K26" s="6" t="s">
        <v>21</v>
      </c>
    </row>
    <row r="27" spans="1:16">
      <c r="A27" s="4" t="s">
        <v>274</v>
      </c>
      <c r="B27" s="4">
        <v>14337</v>
      </c>
      <c r="C27" s="4">
        <v>9904</v>
      </c>
      <c r="D27" s="4">
        <v>5542</v>
      </c>
      <c r="E27" s="4">
        <v>12025</v>
      </c>
      <c r="F27" s="4">
        <v>29016</v>
      </c>
      <c r="G27" s="4">
        <v>31257</v>
      </c>
      <c r="H27" s="4">
        <v>5200</v>
      </c>
      <c r="I27" s="4">
        <v>14747</v>
      </c>
      <c r="J27" s="6" t="s">
        <v>15</v>
      </c>
      <c r="K27" s="6" t="s">
        <v>19</v>
      </c>
    </row>
    <row r="28" spans="1:16">
      <c r="A28" s="4" t="s">
        <v>75</v>
      </c>
      <c r="B28" s="4">
        <v>47154</v>
      </c>
      <c r="C28" s="4">
        <v>7506</v>
      </c>
      <c r="D28" s="4">
        <v>18795</v>
      </c>
      <c r="E28" s="4">
        <v>51490</v>
      </c>
      <c r="F28" s="4">
        <v>6368</v>
      </c>
      <c r="G28" s="4">
        <v>49129</v>
      </c>
      <c r="H28" s="4">
        <v>46414</v>
      </c>
      <c r="I28" s="4">
        <v>25290</v>
      </c>
      <c r="J28" s="6" t="s">
        <v>13</v>
      </c>
      <c r="K28" s="6" t="s">
        <v>19</v>
      </c>
    </row>
    <row r="29" spans="1:16">
      <c r="A29" s="4" t="s">
        <v>47</v>
      </c>
      <c r="B29" s="4">
        <v>8706</v>
      </c>
      <c r="C29" s="4">
        <v>42656</v>
      </c>
      <c r="D29" s="4">
        <v>7471</v>
      </c>
      <c r="E29" s="4">
        <v>20088</v>
      </c>
      <c r="F29" s="4">
        <v>45512</v>
      </c>
      <c r="G29" s="4">
        <v>7960</v>
      </c>
      <c r="H29" s="4">
        <v>14226</v>
      </c>
      <c r="I29" s="4">
        <v>10793</v>
      </c>
      <c r="J29" s="6" t="s">
        <v>14</v>
      </c>
      <c r="K29" s="6" t="s">
        <v>19</v>
      </c>
    </row>
    <row r="30" spans="1:16">
      <c r="A30" s="4" t="s">
        <v>122</v>
      </c>
      <c r="B30" s="4">
        <v>15646</v>
      </c>
      <c r="C30" s="4">
        <v>24997</v>
      </c>
      <c r="D30" s="4">
        <v>21494</v>
      </c>
      <c r="E30" s="4">
        <v>28174</v>
      </c>
      <c r="F30" s="4">
        <v>27572</v>
      </c>
      <c r="G30" s="4">
        <v>19421</v>
      </c>
      <c r="H30" s="4">
        <v>24323</v>
      </c>
      <c r="I30" s="4">
        <v>21706</v>
      </c>
      <c r="J30" s="6" t="s">
        <v>14</v>
      </c>
      <c r="K30" s="6" t="s">
        <v>20</v>
      </c>
    </row>
    <row r="31" spans="1:16">
      <c r="A31" s="4" t="s">
        <v>221</v>
      </c>
      <c r="B31" s="4">
        <v>143203</v>
      </c>
      <c r="C31" s="4">
        <v>142801</v>
      </c>
      <c r="D31" s="4">
        <v>144061</v>
      </c>
      <c r="E31" s="4">
        <v>135781</v>
      </c>
      <c r="F31" s="4">
        <v>139319</v>
      </c>
      <c r="G31" s="4">
        <v>144134</v>
      </c>
      <c r="H31" s="4">
        <v>137549</v>
      </c>
      <c r="I31" s="4">
        <v>139818</v>
      </c>
      <c r="J31" s="6" t="s">
        <v>13</v>
      </c>
      <c r="K31" s="6" t="s">
        <v>21</v>
      </c>
    </row>
    <row r="32" spans="1:16">
      <c r="A32" s="4" t="s">
        <v>171</v>
      </c>
      <c r="B32" s="4">
        <v>22746</v>
      </c>
      <c r="C32" s="4">
        <v>20757</v>
      </c>
      <c r="D32" s="4">
        <v>27179</v>
      </c>
      <c r="E32" s="4">
        <v>23372</v>
      </c>
      <c r="F32" s="4">
        <v>23058</v>
      </c>
      <c r="G32" s="4">
        <v>24111</v>
      </c>
      <c r="H32" s="4">
        <v>30833</v>
      </c>
      <c r="I32" s="4">
        <v>31821</v>
      </c>
      <c r="J32" s="6" t="s">
        <v>14</v>
      </c>
      <c r="K32" s="6" t="s">
        <v>20</v>
      </c>
    </row>
    <row r="33" spans="1:11">
      <c r="A33" s="4" t="s">
        <v>208</v>
      </c>
      <c r="B33" s="4">
        <v>65433</v>
      </c>
      <c r="C33" s="4">
        <v>70494</v>
      </c>
      <c r="D33" s="4">
        <v>66278</v>
      </c>
      <c r="E33" s="4">
        <v>69581</v>
      </c>
      <c r="F33" s="4">
        <v>68024</v>
      </c>
      <c r="G33" s="4">
        <v>67416</v>
      </c>
      <c r="H33" s="4">
        <v>69118</v>
      </c>
      <c r="I33" s="4">
        <v>69642</v>
      </c>
      <c r="J33" s="6" t="s">
        <v>13</v>
      </c>
      <c r="K33" s="6" t="s">
        <v>21</v>
      </c>
    </row>
    <row r="34" spans="1:11">
      <c r="A34" s="4" t="s">
        <v>151</v>
      </c>
      <c r="B34" s="4">
        <v>44026</v>
      </c>
      <c r="C34" s="4">
        <v>30717</v>
      </c>
      <c r="D34" s="4">
        <v>33852</v>
      </c>
      <c r="E34" s="4">
        <v>45807</v>
      </c>
      <c r="F34" s="4">
        <v>33464</v>
      </c>
      <c r="G34" s="4">
        <v>33487</v>
      </c>
      <c r="H34" s="4">
        <v>34768</v>
      </c>
      <c r="I34" s="4">
        <v>44881</v>
      </c>
      <c r="J34" s="6" t="s">
        <v>13</v>
      </c>
      <c r="K34" s="6" t="s">
        <v>20</v>
      </c>
    </row>
    <row r="35" spans="1:11">
      <c r="A35" s="4" t="s">
        <v>264</v>
      </c>
      <c r="B35" s="4">
        <v>23965</v>
      </c>
      <c r="C35" s="4">
        <v>28045</v>
      </c>
      <c r="D35" s="4">
        <v>102792</v>
      </c>
      <c r="E35" s="4">
        <v>125771</v>
      </c>
      <c r="F35" s="4">
        <v>36062</v>
      </c>
      <c r="G35" s="4">
        <v>131328</v>
      </c>
      <c r="H35" s="4">
        <v>22929</v>
      </c>
      <c r="I35" s="4">
        <v>16132</v>
      </c>
      <c r="J35" s="6" t="s">
        <v>13</v>
      </c>
      <c r="K35" s="6" t="s">
        <v>19</v>
      </c>
    </row>
    <row r="36" spans="1:11">
      <c r="A36" s="4" t="s">
        <v>263</v>
      </c>
      <c r="B36" s="4">
        <v>26085</v>
      </c>
      <c r="C36" s="4">
        <v>34958</v>
      </c>
      <c r="D36" s="4">
        <v>35368</v>
      </c>
      <c r="E36" s="4">
        <v>33340</v>
      </c>
      <c r="F36" s="4">
        <v>20709</v>
      </c>
      <c r="G36" s="4">
        <v>30022</v>
      </c>
      <c r="H36" s="4">
        <v>28819</v>
      </c>
      <c r="I36" s="4">
        <v>21446</v>
      </c>
      <c r="J36" s="6" t="s">
        <v>13</v>
      </c>
      <c r="K36" s="6" t="s">
        <v>20</v>
      </c>
    </row>
    <row r="37" spans="1:11">
      <c r="A37" s="4" t="s">
        <v>184</v>
      </c>
      <c r="B37" s="4">
        <v>151130</v>
      </c>
      <c r="C37" s="4">
        <v>179233</v>
      </c>
      <c r="D37" s="4">
        <v>114261</v>
      </c>
      <c r="E37" s="4">
        <v>139330</v>
      </c>
      <c r="F37" s="4">
        <v>183886</v>
      </c>
      <c r="G37" s="4">
        <v>136789</v>
      </c>
      <c r="H37" s="4">
        <v>182510</v>
      </c>
      <c r="I37" s="4">
        <v>122636</v>
      </c>
      <c r="J37" s="6" t="s">
        <v>13</v>
      </c>
      <c r="K37" s="6" t="s">
        <v>20</v>
      </c>
    </row>
    <row r="38" spans="1:11">
      <c r="A38" s="4" t="s">
        <v>91</v>
      </c>
      <c r="B38" s="4">
        <v>120280</v>
      </c>
      <c r="C38" s="4">
        <v>15532</v>
      </c>
      <c r="D38" s="4">
        <v>115606</v>
      </c>
      <c r="E38" s="4">
        <v>48194</v>
      </c>
      <c r="F38" s="4">
        <v>40855</v>
      </c>
      <c r="G38" s="4">
        <v>120400</v>
      </c>
      <c r="H38" s="4">
        <v>102741</v>
      </c>
      <c r="I38" s="4">
        <v>56919</v>
      </c>
      <c r="J38" s="6" t="s">
        <v>13</v>
      </c>
      <c r="K38" s="6" t="s">
        <v>19</v>
      </c>
    </row>
    <row r="39" spans="1:11">
      <c r="A39" s="4" t="s">
        <v>201</v>
      </c>
      <c r="B39" s="4">
        <v>35221</v>
      </c>
      <c r="C39" s="4">
        <v>32700</v>
      </c>
      <c r="D39" s="4">
        <v>35270</v>
      </c>
      <c r="E39" s="4">
        <v>34611</v>
      </c>
      <c r="F39" s="4">
        <v>34439</v>
      </c>
      <c r="G39" s="4">
        <v>32381</v>
      </c>
      <c r="H39" s="4">
        <v>35243</v>
      </c>
      <c r="I39" s="4">
        <v>34737</v>
      </c>
      <c r="J39" s="6" t="s">
        <v>13</v>
      </c>
      <c r="K39" s="6" t="s">
        <v>21</v>
      </c>
    </row>
    <row r="40" spans="1:11">
      <c r="A40" s="4" t="s">
        <v>240</v>
      </c>
      <c r="B40" s="4">
        <v>14265</v>
      </c>
      <c r="C40" s="4">
        <v>14936</v>
      </c>
      <c r="D40" s="4">
        <v>14862</v>
      </c>
      <c r="E40" s="4">
        <v>15225</v>
      </c>
      <c r="F40" s="4">
        <v>14748</v>
      </c>
      <c r="G40" s="4">
        <v>14773</v>
      </c>
      <c r="H40" s="4">
        <v>15397</v>
      </c>
      <c r="I40" s="4">
        <v>14462</v>
      </c>
      <c r="J40" s="6" t="s">
        <v>15</v>
      </c>
      <c r="K40" s="6" t="s">
        <v>21</v>
      </c>
    </row>
    <row r="41" spans="1:11">
      <c r="A41" s="4" t="s">
        <v>68</v>
      </c>
      <c r="B41" s="4">
        <v>15148</v>
      </c>
      <c r="C41" s="4">
        <v>14212</v>
      </c>
      <c r="D41" s="4">
        <v>15196</v>
      </c>
      <c r="E41" s="4">
        <v>14919</v>
      </c>
      <c r="F41" s="4">
        <v>14493</v>
      </c>
      <c r="G41" s="4">
        <v>14911</v>
      </c>
      <c r="H41" s="4">
        <v>15428</v>
      </c>
      <c r="I41" s="4">
        <v>14616</v>
      </c>
      <c r="J41" s="6" t="s">
        <v>15</v>
      </c>
      <c r="K41" s="6" t="s">
        <v>21</v>
      </c>
    </row>
    <row r="42" spans="1:11">
      <c r="A42" s="4" t="s">
        <v>123</v>
      </c>
      <c r="B42" s="4">
        <v>23425</v>
      </c>
      <c r="C42" s="4">
        <v>23859</v>
      </c>
      <c r="D42" s="4">
        <v>23491</v>
      </c>
      <c r="E42" s="4">
        <v>24198</v>
      </c>
      <c r="F42" s="4">
        <v>23787</v>
      </c>
      <c r="G42" s="4">
        <v>24168</v>
      </c>
      <c r="H42" s="4">
        <v>23816</v>
      </c>
      <c r="I42" s="4">
        <v>22619</v>
      </c>
      <c r="J42" s="6" t="s">
        <v>14</v>
      </c>
      <c r="K42" s="6" t="s">
        <v>21</v>
      </c>
    </row>
    <row r="43" spans="1:11">
      <c r="A43" s="4" t="s">
        <v>206</v>
      </c>
      <c r="B43" s="4">
        <v>97977</v>
      </c>
      <c r="C43" s="4">
        <v>96098</v>
      </c>
      <c r="D43" s="4">
        <v>94459</v>
      </c>
      <c r="E43" s="4">
        <v>92628</v>
      </c>
      <c r="F43" s="4">
        <v>98659</v>
      </c>
      <c r="G43" s="4">
        <v>95498</v>
      </c>
      <c r="H43" s="4">
        <v>98324</v>
      </c>
      <c r="I43" s="4">
        <v>100828</v>
      </c>
      <c r="J43" s="6" t="s">
        <v>13</v>
      </c>
      <c r="K43" s="6" t="s">
        <v>21</v>
      </c>
    </row>
    <row r="44" spans="1:11">
      <c r="A44" s="4" t="s">
        <v>98</v>
      </c>
      <c r="B44" s="4">
        <v>35495</v>
      </c>
      <c r="C44" s="4">
        <v>5200</v>
      </c>
      <c r="D44" s="4">
        <v>35952</v>
      </c>
      <c r="E44" s="4">
        <v>11217</v>
      </c>
      <c r="F44" s="4">
        <v>32375</v>
      </c>
      <c r="G44" s="4">
        <v>6749</v>
      </c>
      <c r="H44" s="4">
        <v>16397</v>
      </c>
      <c r="I44" s="4">
        <v>16308</v>
      </c>
      <c r="J44" s="6" t="s">
        <v>14</v>
      </c>
      <c r="K44" s="6" t="s">
        <v>19</v>
      </c>
    </row>
    <row r="45" spans="1:11">
      <c r="A45" s="4" t="s">
        <v>50</v>
      </c>
      <c r="B45" s="4">
        <v>100617</v>
      </c>
      <c r="C45" s="4">
        <v>12764</v>
      </c>
      <c r="D45" s="4">
        <v>32592</v>
      </c>
      <c r="E45" s="4">
        <v>69679</v>
      </c>
      <c r="F45" s="4">
        <v>27404</v>
      </c>
      <c r="G45" s="4">
        <v>86252</v>
      </c>
      <c r="H45" s="4">
        <v>15928</v>
      </c>
      <c r="I45" s="4">
        <v>30510</v>
      </c>
      <c r="J45" s="6" t="s">
        <v>13</v>
      </c>
      <c r="K45" s="6" t="s">
        <v>19</v>
      </c>
    </row>
    <row r="46" spans="1:11">
      <c r="A46" s="4" t="s">
        <v>113</v>
      </c>
      <c r="B46" s="4">
        <v>58403</v>
      </c>
      <c r="C46" s="4">
        <v>13482</v>
      </c>
      <c r="D46" s="4">
        <v>68277</v>
      </c>
      <c r="E46" s="4">
        <v>58751</v>
      </c>
      <c r="F46" s="4">
        <v>26970</v>
      </c>
      <c r="G46" s="4">
        <v>6270</v>
      </c>
      <c r="H46" s="4">
        <v>10200</v>
      </c>
      <c r="I46" s="4">
        <v>74018</v>
      </c>
      <c r="J46" s="6" t="s">
        <v>13</v>
      </c>
      <c r="K46" s="6" t="s">
        <v>19</v>
      </c>
    </row>
    <row r="47" spans="1:11">
      <c r="A47" s="4" t="s">
        <v>160</v>
      </c>
      <c r="B47" s="4">
        <v>16497</v>
      </c>
      <c r="C47" s="4">
        <v>16828</v>
      </c>
      <c r="D47" s="4">
        <v>16103</v>
      </c>
      <c r="E47" s="4">
        <v>16003</v>
      </c>
      <c r="F47" s="4">
        <v>16958</v>
      </c>
      <c r="G47" s="4">
        <v>16815</v>
      </c>
      <c r="H47" s="4">
        <v>17312</v>
      </c>
      <c r="I47" s="4">
        <v>16560</v>
      </c>
      <c r="J47" s="6" t="s">
        <v>14</v>
      </c>
      <c r="K47" s="6" t="s">
        <v>21</v>
      </c>
    </row>
    <row r="48" spans="1:11">
      <c r="A48" s="4" t="s">
        <v>262</v>
      </c>
      <c r="B48" s="4">
        <v>9778</v>
      </c>
      <c r="C48" s="4">
        <v>23394</v>
      </c>
      <c r="D48" s="4">
        <v>7478</v>
      </c>
      <c r="E48" s="4">
        <v>18268</v>
      </c>
      <c r="F48" s="4">
        <v>9878</v>
      </c>
      <c r="G48" s="4">
        <v>21284</v>
      </c>
      <c r="H48" s="4">
        <v>52714</v>
      </c>
      <c r="I48" s="4">
        <v>11897</v>
      </c>
      <c r="J48" s="6" t="s">
        <v>14</v>
      </c>
      <c r="K48" s="6" t="s">
        <v>19</v>
      </c>
    </row>
    <row r="49" spans="1:11">
      <c r="A49" s="4" t="s">
        <v>145</v>
      </c>
      <c r="B49" s="4">
        <v>49602</v>
      </c>
      <c r="C49" s="4">
        <v>68027</v>
      </c>
      <c r="D49" s="4">
        <v>51453</v>
      </c>
      <c r="E49" s="4">
        <v>70143</v>
      </c>
      <c r="F49" s="4">
        <v>55006</v>
      </c>
      <c r="G49" s="4">
        <v>59611</v>
      </c>
      <c r="H49" s="4">
        <v>39179</v>
      </c>
      <c r="I49" s="4">
        <v>51394</v>
      </c>
      <c r="J49" s="6" t="s">
        <v>13</v>
      </c>
      <c r="K49" s="6" t="s">
        <v>20</v>
      </c>
    </row>
    <row r="50" spans="1:11">
      <c r="A50" s="4" t="s">
        <v>126</v>
      </c>
      <c r="B50" s="4">
        <v>17415</v>
      </c>
      <c r="C50" s="4">
        <v>18283</v>
      </c>
      <c r="D50" s="4">
        <v>18309</v>
      </c>
      <c r="E50" s="4">
        <v>17676</v>
      </c>
      <c r="F50" s="4">
        <v>18182</v>
      </c>
      <c r="G50" s="4">
        <v>17761</v>
      </c>
      <c r="H50" s="4">
        <v>17041</v>
      </c>
      <c r="I50" s="4">
        <v>17634</v>
      </c>
      <c r="J50" s="6" t="s">
        <v>14</v>
      </c>
      <c r="K50" s="6" t="s">
        <v>21</v>
      </c>
    </row>
    <row r="51" spans="1:11">
      <c r="A51" s="4" t="s">
        <v>93</v>
      </c>
      <c r="B51" s="4">
        <v>154408</v>
      </c>
      <c r="C51" s="4">
        <v>119175</v>
      </c>
      <c r="D51" s="4">
        <v>142684</v>
      </c>
      <c r="E51" s="4">
        <v>110823</v>
      </c>
      <c r="F51" s="4">
        <v>116977</v>
      </c>
      <c r="G51" s="4">
        <v>118817</v>
      </c>
      <c r="H51" s="4">
        <v>96337</v>
      </c>
      <c r="I51" s="4">
        <v>102495</v>
      </c>
      <c r="J51" s="6" t="s">
        <v>13</v>
      </c>
      <c r="K51" s="6" t="s">
        <v>20</v>
      </c>
    </row>
    <row r="52" spans="1:11">
      <c r="A52" s="4" t="s">
        <v>192</v>
      </c>
      <c r="B52" s="4">
        <v>11372</v>
      </c>
      <c r="C52" s="4">
        <v>75832</v>
      </c>
      <c r="D52" s="4">
        <v>8180</v>
      </c>
      <c r="E52" s="4">
        <v>24804</v>
      </c>
      <c r="F52" s="4">
        <v>75758</v>
      </c>
      <c r="G52" s="4">
        <v>29048</v>
      </c>
      <c r="H52" s="4">
        <v>55732</v>
      </c>
      <c r="I52" s="4">
        <v>65314</v>
      </c>
      <c r="J52" s="6" t="s">
        <v>13</v>
      </c>
      <c r="K52" s="6" t="s">
        <v>19</v>
      </c>
    </row>
    <row r="53" spans="1:11">
      <c r="A53" s="4" t="s">
        <v>181</v>
      </c>
      <c r="B53" s="4">
        <v>59748</v>
      </c>
      <c r="C53" s="4">
        <v>162650</v>
      </c>
      <c r="D53" s="4">
        <v>75021</v>
      </c>
      <c r="E53" s="4">
        <v>22665</v>
      </c>
      <c r="F53" s="4">
        <v>57825</v>
      </c>
      <c r="G53" s="4">
        <v>42890</v>
      </c>
      <c r="H53" s="4">
        <v>170420</v>
      </c>
      <c r="I53" s="4">
        <v>85631</v>
      </c>
      <c r="J53" s="6" t="s">
        <v>13</v>
      </c>
      <c r="K53" s="6" t="s">
        <v>19</v>
      </c>
    </row>
    <row r="54" spans="1:11">
      <c r="A54" s="4" t="s">
        <v>88</v>
      </c>
      <c r="B54" s="4">
        <v>55299</v>
      </c>
      <c r="C54" s="4">
        <v>55916</v>
      </c>
      <c r="D54" s="4">
        <v>45994</v>
      </c>
      <c r="E54" s="4">
        <v>51361</v>
      </c>
      <c r="F54" s="4">
        <v>54794</v>
      </c>
      <c r="G54" s="4">
        <v>54566</v>
      </c>
      <c r="H54" s="4">
        <v>70364</v>
      </c>
      <c r="I54" s="4">
        <v>69258</v>
      </c>
      <c r="J54" s="6" t="s">
        <v>13</v>
      </c>
      <c r="K54" s="6" t="s">
        <v>20</v>
      </c>
    </row>
    <row r="55" spans="1:11">
      <c r="A55" s="4" t="s">
        <v>132</v>
      </c>
      <c r="B55" s="4">
        <v>75446</v>
      </c>
      <c r="C55" s="4">
        <v>75867</v>
      </c>
      <c r="D55" s="4">
        <v>103612</v>
      </c>
      <c r="E55" s="4">
        <v>129770</v>
      </c>
      <c r="F55" s="4">
        <v>90098</v>
      </c>
      <c r="G55" s="4">
        <v>99111</v>
      </c>
      <c r="H55" s="4">
        <v>90881</v>
      </c>
      <c r="I55" s="4">
        <v>72587</v>
      </c>
      <c r="J55" s="6" t="s">
        <v>13</v>
      </c>
      <c r="K55" s="6" t="s">
        <v>20</v>
      </c>
    </row>
    <row r="56" spans="1:11">
      <c r="A56" s="4" t="s">
        <v>182</v>
      </c>
      <c r="B56" s="4">
        <v>97614</v>
      </c>
      <c r="C56" s="4">
        <v>88536</v>
      </c>
      <c r="D56" s="4">
        <v>79337</v>
      </c>
      <c r="E56" s="4">
        <v>102353</v>
      </c>
      <c r="F56" s="4">
        <v>63882</v>
      </c>
      <c r="G56" s="4">
        <v>107762</v>
      </c>
      <c r="H56" s="4">
        <v>107681</v>
      </c>
      <c r="I56" s="4">
        <v>92118</v>
      </c>
      <c r="J56" s="6" t="s">
        <v>13</v>
      </c>
      <c r="K56" s="6" t="s">
        <v>20</v>
      </c>
    </row>
    <row r="57" spans="1:11">
      <c r="A57" s="4" t="s">
        <v>158</v>
      </c>
      <c r="B57" s="4">
        <v>92411</v>
      </c>
      <c r="C57" s="4">
        <v>91437</v>
      </c>
      <c r="D57" s="4">
        <v>90258</v>
      </c>
      <c r="E57" s="4">
        <v>90282</v>
      </c>
      <c r="F57" s="4">
        <v>92879</v>
      </c>
      <c r="G57" s="4">
        <v>90240</v>
      </c>
      <c r="H57" s="4">
        <v>92333</v>
      </c>
      <c r="I57" s="4">
        <v>92613</v>
      </c>
      <c r="J57" s="6" t="s">
        <v>13</v>
      </c>
      <c r="K57" s="6" t="s">
        <v>21</v>
      </c>
    </row>
    <row r="58" spans="1:11">
      <c r="A58" s="4" t="s">
        <v>71</v>
      </c>
      <c r="B58" s="4">
        <v>14093</v>
      </c>
      <c r="C58" s="4">
        <v>13726</v>
      </c>
      <c r="D58" s="4">
        <v>14249</v>
      </c>
      <c r="E58" s="4">
        <v>11079</v>
      </c>
      <c r="F58" s="4">
        <v>17386</v>
      </c>
      <c r="G58" s="4">
        <v>18202</v>
      </c>
      <c r="H58" s="4">
        <v>15218</v>
      </c>
      <c r="I58" s="4">
        <v>18125</v>
      </c>
      <c r="J58" s="6" t="s">
        <v>15</v>
      </c>
      <c r="K58" s="6" t="s">
        <v>20</v>
      </c>
    </row>
    <row r="59" spans="1:11">
      <c r="A59" s="4" t="s">
        <v>235</v>
      </c>
      <c r="B59" s="4">
        <v>22190</v>
      </c>
      <c r="C59" s="4">
        <v>22992</v>
      </c>
      <c r="D59" s="4">
        <v>27614</v>
      </c>
      <c r="E59" s="4">
        <v>31207</v>
      </c>
      <c r="F59" s="4">
        <v>17716</v>
      </c>
      <c r="G59" s="4">
        <v>19386</v>
      </c>
      <c r="H59" s="4">
        <v>29108</v>
      </c>
      <c r="I59" s="4">
        <v>22754</v>
      </c>
      <c r="J59" s="6" t="s">
        <v>14</v>
      </c>
      <c r="K59" s="6" t="s">
        <v>20</v>
      </c>
    </row>
    <row r="60" spans="1:11">
      <c r="A60" s="4" t="s">
        <v>216</v>
      </c>
      <c r="B60" s="4">
        <v>34036</v>
      </c>
      <c r="C60" s="4">
        <v>15237</v>
      </c>
      <c r="D60" s="4">
        <v>30611</v>
      </c>
      <c r="E60" s="4">
        <v>33459</v>
      </c>
      <c r="F60" s="4">
        <v>11285</v>
      </c>
      <c r="G60" s="4">
        <v>42294</v>
      </c>
      <c r="H60" s="4">
        <v>12048</v>
      </c>
      <c r="I60" s="4">
        <v>32061</v>
      </c>
      <c r="J60" s="6" t="s">
        <v>14</v>
      </c>
      <c r="K60" s="6" t="s">
        <v>19</v>
      </c>
    </row>
    <row r="61" spans="1:11">
      <c r="A61" s="4" t="s">
        <v>156</v>
      </c>
      <c r="B61" s="4">
        <v>13001</v>
      </c>
      <c r="C61" s="4">
        <v>13034</v>
      </c>
      <c r="D61" s="4">
        <v>13602</v>
      </c>
      <c r="E61" s="4">
        <v>13384</v>
      </c>
      <c r="F61" s="4">
        <v>13618</v>
      </c>
      <c r="G61" s="4">
        <v>13784</v>
      </c>
      <c r="H61" s="4">
        <v>13286</v>
      </c>
      <c r="I61" s="4">
        <v>13588</v>
      </c>
      <c r="J61" s="6" t="s">
        <v>15</v>
      </c>
      <c r="K61" s="6" t="s">
        <v>21</v>
      </c>
    </row>
    <row r="62" spans="1:11">
      <c r="A62" s="4" t="s">
        <v>116</v>
      </c>
      <c r="B62" s="4">
        <v>43526</v>
      </c>
      <c r="C62" s="4">
        <v>45754</v>
      </c>
      <c r="D62" s="4">
        <v>28816</v>
      </c>
      <c r="E62" s="4">
        <v>38114</v>
      </c>
      <c r="F62" s="4">
        <v>29936</v>
      </c>
      <c r="G62" s="4">
        <v>34272</v>
      </c>
      <c r="H62" s="4">
        <v>39256</v>
      </c>
      <c r="I62" s="4">
        <v>49924</v>
      </c>
      <c r="J62" s="6" t="s">
        <v>13</v>
      </c>
      <c r="K62" s="6" t="s">
        <v>20</v>
      </c>
    </row>
    <row r="63" spans="1:11">
      <c r="A63" s="4" t="s">
        <v>129</v>
      </c>
      <c r="B63" s="4">
        <v>69177</v>
      </c>
      <c r="C63" s="4">
        <v>73566</v>
      </c>
      <c r="D63" s="4">
        <v>70330</v>
      </c>
      <c r="E63" s="4">
        <v>68817</v>
      </c>
      <c r="F63" s="4">
        <v>72359</v>
      </c>
      <c r="G63" s="4">
        <v>70726</v>
      </c>
      <c r="H63" s="4">
        <v>68954</v>
      </c>
      <c r="I63" s="4">
        <v>69713</v>
      </c>
      <c r="J63" s="6" t="s">
        <v>13</v>
      </c>
      <c r="K63" s="6" t="s">
        <v>21</v>
      </c>
    </row>
    <row r="64" spans="1:11">
      <c r="A64" s="4" t="s">
        <v>63</v>
      </c>
      <c r="B64" s="4">
        <v>18175</v>
      </c>
      <c r="C64" s="4">
        <v>18460</v>
      </c>
      <c r="D64" s="4">
        <v>17426</v>
      </c>
      <c r="E64" s="4">
        <v>18249</v>
      </c>
      <c r="F64" s="4">
        <v>17978</v>
      </c>
      <c r="G64" s="4">
        <v>18583</v>
      </c>
      <c r="H64" s="4">
        <v>17232</v>
      </c>
      <c r="I64" s="4">
        <v>17227</v>
      </c>
      <c r="J64" s="6" t="s">
        <v>14</v>
      </c>
      <c r="K64" s="6" t="s">
        <v>21</v>
      </c>
    </row>
    <row r="65" spans="1:11">
      <c r="A65" s="4" t="s">
        <v>114</v>
      </c>
      <c r="B65" s="4">
        <v>26463</v>
      </c>
      <c r="C65" s="4">
        <v>34355</v>
      </c>
      <c r="D65" s="4">
        <v>42595</v>
      </c>
      <c r="E65" s="4">
        <v>33590</v>
      </c>
      <c r="F65" s="4">
        <v>42221</v>
      </c>
      <c r="G65" s="4">
        <v>38967</v>
      </c>
      <c r="H65" s="4">
        <v>43274</v>
      </c>
      <c r="I65" s="4">
        <v>36312</v>
      </c>
      <c r="J65" s="6" t="s">
        <v>13</v>
      </c>
      <c r="K65" s="6" t="s">
        <v>20</v>
      </c>
    </row>
    <row r="66" spans="1:11">
      <c r="A66" s="4" t="s">
        <v>186</v>
      </c>
      <c r="B66" s="4">
        <v>18252</v>
      </c>
      <c r="C66" s="4">
        <v>19351</v>
      </c>
      <c r="D66" s="4">
        <v>27915</v>
      </c>
      <c r="E66" s="4">
        <v>19461</v>
      </c>
      <c r="F66" s="4">
        <v>15702</v>
      </c>
      <c r="G66" s="4">
        <v>16799</v>
      </c>
      <c r="H66" s="4">
        <v>20426</v>
      </c>
      <c r="I66" s="4">
        <v>15612</v>
      </c>
      <c r="J66" s="6" t="s">
        <v>14</v>
      </c>
      <c r="K66" s="6" t="s">
        <v>20</v>
      </c>
    </row>
    <row r="67" spans="1:11">
      <c r="A67" s="4" t="s">
        <v>62</v>
      </c>
      <c r="B67" s="4">
        <v>102099</v>
      </c>
      <c r="C67" s="4">
        <v>96912</v>
      </c>
      <c r="D67" s="4">
        <v>97504</v>
      </c>
      <c r="E67" s="4">
        <v>88061</v>
      </c>
      <c r="F67" s="4">
        <v>78112</v>
      </c>
      <c r="G67" s="4">
        <v>86454</v>
      </c>
      <c r="H67" s="4">
        <v>86057</v>
      </c>
      <c r="I67" s="4">
        <v>106406</v>
      </c>
      <c r="J67" s="6" t="s">
        <v>13</v>
      </c>
      <c r="K67" s="6" t="s">
        <v>21</v>
      </c>
    </row>
    <row r="68" spans="1:11">
      <c r="A68" s="4" t="s">
        <v>256</v>
      </c>
      <c r="B68" s="4">
        <v>21016</v>
      </c>
      <c r="C68" s="4">
        <v>18009</v>
      </c>
      <c r="D68" s="4">
        <v>26120</v>
      </c>
      <c r="E68" s="4">
        <v>30799</v>
      </c>
      <c r="F68" s="4">
        <v>30688</v>
      </c>
      <c r="G68" s="4">
        <v>17958</v>
      </c>
      <c r="H68" s="4">
        <v>18268</v>
      </c>
      <c r="I68" s="4">
        <v>17420</v>
      </c>
      <c r="J68" s="6" t="s">
        <v>14</v>
      </c>
      <c r="K68" s="6" t="s">
        <v>20</v>
      </c>
    </row>
    <row r="69" spans="1:11">
      <c r="A69" s="4" t="s">
        <v>209</v>
      </c>
      <c r="B69" s="4">
        <v>117497</v>
      </c>
      <c r="C69" s="4">
        <v>100355</v>
      </c>
      <c r="D69" s="4">
        <v>89035</v>
      </c>
      <c r="E69" s="4">
        <v>104355</v>
      </c>
      <c r="F69" s="4">
        <v>113749</v>
      </c>
      <c r="G69" s="4">
        <v>112252</v>
      </c>
      <c r="H69" s="4">
        <v>100958</v>
      </c>
      <c r="I69" s="4">
        <v>69430</v>
      </c>
      <c r="J69" s="6" t="s">
        <v>13</v>
      </c>
      <c r="K69" s="6" t="s">
        <v>20</v>
      </c>
    </row>
    <row r="70" spans="1:11">
      <c r="A70" s="4" t="s">
        <v>59</v>
      </c>
      <c r="B70" s="4">
        <v>15637</v>
      </c>
      <c r="C70" s="4">
        <v>16524</v>
      </c>
      <c r="D70" s="4">
        <v>16217</v>
      </c>
      <c r="E70" s="4">
        <v>15112</v>
      </c>
      <c r="F70" s="4">
        <v>16352</v>
      </c>
      <c r="G70" s="4">
        <v>15826</v>
      </c>
      <c r="H70" s="4">
        <v>15422</v>
      </c>
      <c r="I70" s="4">
        <v>16309</v>
      </c>
      <c r="J70" s="6" t="s">
        <v>14</v>
      </c>
      <c r="K70" s="6" t="s">
        <v>21</v>
      </c>
    </row>
    <row r="71" spans="1:11">
      <c r="A71" s="4" t="s">
        <v>234</v>
      </c>
      <c r="B71" s="4">
        <v>22582</v>
      </c>
      <c r="C71" s="4">
        <v>22388</v>
      </c>
      <c r="D71" s="4">
        <v>22959</v>
      </c>
      <c r="E71" s="4">
        <v>22900</v>
      </c>
      <c r="F71" s="4">
        <v>22184</v>
      </c>
      <c r="G71" s="4">
        <v>22834</v>
      </c>
      <c r="H71" s="4">
        <v>21292</v>
      </c>
      <c r="I71" s="4">
        <v>22772</v>
      </c>
      <c r="J71" s="6" t="s">
        <v>14</v>
      </c>
      <c r="K71" s="6" t="s">
        <v>21</v>
      </c>
    </row>
    <row r="72" spans="1:11">
      <c r="A72" s="4" t="s">
        <v>112</v>
      </c>
      <c r="B72" s="4">
        <v>26644</v>
      </c>
      <c r="C72" s="4">
        <v>15360</v>
      </c>
      <c r="D72" s="4">
        <v>19833</v>
      </c>
      <c r="E72" s="4">
        <v>21170</v>
      </c>
      <c r="F72" s="4">
        <v>19390</v>
      </c>
      <c r="G72" s="4">
        <v>23435</v>
      </c>
      <c r="H72" s="4">
        <v>20236</v>
      </c>
      <c r="I72" s="4">
        <v>15627</v>
      </c>
      <c r="J72" s="6" t="s">
        <v>14</v>
      </c>
      <c r="K72" s="6" t="s">
        <v>20</v>
      </c>
    </row>
    <row r="73" spans="1:11">
      <c r="A73" s="4" t="s">
        <v>82</v>
      </c>
      <c r="B73" s="4">
        <v>20196</v>
      </c>
      <c r="C73" s="4">
        <v>14272</v>
      </c>
      <c r="D73" s="4">
        <v>16924</v>
      </c>
      <c r="E73" s="4">
        <v>18489</v>
      </c>
      <c r="F73" s="4">
        <v>19582</v>
      </c>
      <c r="G73" s="4">
        <v>19759</v>
      </c>
      <c r="H73" s="4">
        <v>19325</v>
      </c>
      <c r="I73" s="4">
        <v>18686</v>
      </c>
      <c r="J73" s="6" t="s">
        <v>14</v>
      </c>
      <c r="K73" s="6" t="s">
        <v>21</v>
      </c>
    </row>
    <row r="74" spans="1:11">
      <c r="A74" s="4" t="s">
        <v>138</v>
      </c>
      <c r="B74" s="4">
        <v>135541</v>
      </c>
      <c r="C74" s="4">
        <v>55739</v>
      </c>
      <c r="D74" s="4">
        <v>82051</v>
      </c>
      <c r="E74" s="4">
        <v>184634</v>
      </c>
      <c r="F74" s="4">
        <v>36356</v>
      </c>
      <c r="G74" s="4">
        <v>27762</v>
      </c>
      <c r="H74" s="4">
        <v>194933</v>
      </c>
      <c r="I74" s="4">
        <v>180994</v>
      </c>
      <c r="J74" s="6" t="s">
        <v>13</v>
      </c>
      <c r="K74" s="6" t="s">
        <v>19</v>
      </c>
    </row>
    <row r="75" spans="1:11">
      <c r="A75" s="4" t="s">
        <v>103</v>
      </c>
      <c r="B75" s="4">
        <v>261844</v>
      </c>
      <c r="C75" s="4">
        <v>27749</v>
      </c>
      <c r="D75" s="4">
        <v>278478</v>
      </c>
      <c r="E75" s="4">
        <v>71265</v>
      </c>
      <c r="F75" s="4">
        <v>26676</v>
      </c>
      <c r="G75" s="4">
        <v>81944</v>
      </c>
      <c r="H75" s="4">
        <v>108878</v>
      </c>
      <c r="I75" s="4">
        <v>86909</v>
      </c>
      <c r="J75" s="6" t="s">
        <v>13</v>
      </c>
      <c r="K75" s="6" t="s">
        <v>19</v>
      </c>
    </row>
    <row r="76" spans="1:11">
      <c r="A76" s="4" t="s">
        <v>65</v>
      </c>
      <c r="B76" s="4">
        <v>43571</v>
      </c>
      <c r="C76" s="4">
        <v>17979</v>
      </c>
      <c r="D76" s="4">
        <v>113707</v>
      </c>
      <c r="E76" s="4">
        <v>83780</v>
      </c>
      <c r="F76" s="4">
        <v>42287</v>
      </c>
      <c r="G76" s="4">
        <v>39142</v>
      </c>
      <c r="H76" s="4">
        <v>92384</v>
      </c>
      <c r="I76" s="4">
        <v>92614</v>
      </c>
      <c r="J76" s="6" t="s">
        <v>13</v>
      </c>
      <c r="K76" s="6" t="s">
        <v>19</v>
      </c>
    </row>
    <row r="77" spans="1:11">
      <c r="A77" s="4" t="s">
        <v>94</v>
      </c>
      <c r="B77" s="4">
        <v>116559</v>
      </c>
      <c r="C77" s="4">
        <v>116166</v>
      </c>
      <c r="D77" s="4">
        <v>76629</v>
      </c>
      <c r="E77" s="4">
        <v>118454</v>
      </c>
      <c r="F77" s="4">
        <v>128892</v>
      </c>
      <c r="G77" s="4">
        <v>109192</v>
      </c>
      <c r="H77" s="4">
        <v>106951</v>
      </c>
      <c r="I77" s="4">
        <v>83518</v>
      </c>
      <c r="J77" s="6" t="s">
        <v>13</v>
      </c>
      <c r="K77" s="6" t="s">
        <v>20</v>
      </c>
    </row>
    <row r="78" spans="1:11">
      <c r="A78" s="4" t="s">
        <v>55</v>
      </c>
      <c r="B78" s="4">
        <v>14931</v>
      </c>
      <c r="C78" s="4">
        <v>15917</v>
      </c>
      <c r="D78" s="4">
        <v>14985</v>
      </c>
      <c r="E78" s="4">
        <v>15745</v>
      </c>
      <c r="F78" s="4">
        <v>14799</v>
      </c>
      <c r="G78" s="4">
        <v>14599</v>
      </c>
      <c r="H78" s="4">
        <v>15487</v>
      </c>
      <c r="I78" s="4">
        <v>15309</v>
      </c>
      <c r="J78" s="6" t="s">
        <v>15</v>
      </c>
      <c r="K78" s="6" t="s">
        <v>21</v>
      </c>
    </row>
    <row r="79" spans="1:11">
      <c r="A79" s="4" t="s">
        <v>249</v>
      </c>
      <c r="B79" s="4">
        <v>61886</v>
      </c>
      <c r="C79" s="4">
        <v>58736</v>
      </c>
      <c r="D79" s="4">
        <v>58351</v>
      </c>
      <c r="E79" s="4">
        <v>60683</v>
      </c>
      <c r="F79" s="4">
        <v>59828</v>
      </c>
      <c r="G79" s="4">
        <v>58385</v>
      </c>
      <c r="H79" s="4">
        <v>61914</v>
      </c>
      <c r="I79" s="4">
        <v>59098</v>
      </c>
      <c r="J79" s="6" t="s">
        <v>13</v>
      </c>
      <c r="K79" s="6" t="s">
        <v>21</v>
      </c>
    </row>
    <row r="80" spans="1:11">
      <c r="A80" s="4" t="s">
        <v>54</v>
      </c>
      <c r="B80" s="4">
        <v>33963</v>
      </c>
      <c r="C80" s="4">
        <v>33646</v>
      </c>
      <c r="D80" s="4">
        <v>32755</v>
      </c>
      <c r="E80" s="4">
        <v>33094</v>
      </c>
      <c r="F80" s="4">
        <v>34013</v>
      </c>
      <c r="G80" s="4">
        <v>33972</v>
      </c>
      <c r="H80" s="4">
        <v>34698</v>
      </c>
      <c r="I80" s="4">
        <v>32717</v>
      </c>
      <c r="J80" s="6" t="s">
        <v>13</v>
      </c>
      <c r="K80" s="6" t="s">
        <v>21</v>
      </c>
    </row>
    <row r="81" spans="1:11">
      <c r="A81" s="4" t="s">
        <v>80</v>
      </c>
      <c r="B81" s="4">
        <v>89063</v>
      </c>
      <c r="C81" s="4">
        <v>89564</v>
      </c>
      <c r="D81" s="4">
        <v>87698</v>
      </c>
      <c r="E81" s="4">
        <v>88930</v>
      </c>
      <c r="F81" s="4">
        <v>82432</v>
      </c>
      <c r="G81" s="4">
        <v>87323</v>
      </c>
      <c r="H81" s="4">
        <v>83802</v>
      </c>
      <c r="I81" s="4">
        <v>85006</v>
      </c>
      <c r="J81" s="6" t="s">
        <v>13</v>
      </c>
      <c r="K81" s="6" t="s">
        <v>21</v>
      </c>
    </row>
    <row r="82" spans="1:11">
      <c r="A82" s="4" t="s">
        <v>227</v>
      </c>
      <c r="B82" s="4">
        <v>61896</v>
      </c>
      <c r="C82" s="4">
        <v>63798</v>
      </c>
      <c r="D82" s="4">
        <v>62944</v>
      </c>
      <c r="E82" s="4">
        <v>64964</v>
      </c>
      <c r="F82" s="4">
        <v>61436</v>
      </c>
      <c r="G82" s="4">
        <v>60536</v>
      </c>
      <c r="H82" s="4">
        <v>63515</v>
      </c>
      <c r="I82" s="4">
        <v>60157</v>
      </c>
      <c r="J82" s="6" t="s">
        <v>13</v>
      </c>
      <c r="K82" s="6" t="s">
        <v>21</v>
      </c>
    </row>
    <row r="83" spans="1:11">
      <c r="A83" s="4" t="s">
        <v>228</v>
      </c>
      <c r="B83" s="4">
        <v>45226</v>
      </c>
      <c r="C83" s="4">
        <v>47156</v>
      </c>
      <c r="D83" s="4">
        <v>100560</v>
      </c>
      <c r="E83" s="4">
        <v>117446</v>
      </c>
      <c r="F83" s="4">
        <v>40833</v>
      </c>
      <c r="G83" s="4">
        <v>30585</v>
      </c>
      <c r="H83" s="4">
        <v>122537</v>
      </c>
      <c r="I83" s="4">
        <v>18798</v>
      </c>
      <c r="J83" s="6" t="s">
        <v>13</v>
      </c>
      <c r="K83" s="6" t="s">
        <v>19</v>
      </c>
    </row>
    <row r="84" spans="1:11">
      <c r="A84" s="4" t="s">
        <v>257</v>
      </c>
      <c r="B84" s="4">
        <v>25793</v>
      </c>
      <c r="C84" s="4">
        <v>35174</v>
      </c>
      <c r="D84" s="4">
        <v>34364</v>
      </c>
      <c r="E84" s="4">
        <v>32217</v>
      </c>
      <c r="F84" s="4">
        <v>21381</v>
      </c>
      <c r="G84" s="4">
        <v>22916</v>
      </c>
      <c r="H84" s="4">
        <v>36767</v>
      </c>
      <c r="I84" s="4">
        <v>36158</v>
      </c>
      <c r="J84" s="6" t="s">
        <v>13</v>
      </c>
      <c r="K84" s="6" t="s">
        <v>20</v>
      </c>
    </row>
    <row r="85" spans="1:11">
      <c r="A85" s="4" t="s">
        <v>238</v>
      </c>
      <c r="B85" s="4">
        <v>32524</v>
      </c>
      <c r="C85" s="4">
        <v>33313</v>
      </c>
      <c r="D85" s="4">
        <v>32132</v>
      </c>
      <c r="E85" s="4">
        <v>32304</v>
      </c>
      <c r="F85" s="4">
        <v>33396</v>
      </c>
      <c r="G85" s="4">
        <v>33048</v>
      </c>
      <c r="H85" s="4">
        <v>32850</v>
      </c>
      <c r="I85" s="4">
        <v>31537</v>
      </c>
      <c r="J85" s="6" t="s">
        <v>13</v>
      </c>
      <c r="K85" s="6" t="s">
        <v>21</v>
      </c>
    </row>
    <row r="86" spans="1:11">
      <c r="A86" s="4" t="s">
        <v>193</v>
      </c>
      <c r="B86" s="4">
        <v>39134</v>
      </c>
      <c r="C86" s="4">
        <v>37234</v>
      </c>
      <c r="D86" s="4">
        <v>37624</v>
      </c>
      <c r="E86" s="4">
        <v>37750</v>
      </c>
      <c r="F86" s="4">
        <v>37172</v>
      </c>
      <c r="G86" s="4">
        <v>36379</v>
      </c>
      <c r="H86" s="4">
        <v>38047</v>
      </c>
      <c r="I86" s="4">
        <v>38439</v>
      </c>
      <c r="J86" s="6" t="s">
        <v>13</v>
      </c>
      <c r="K86" s="6" t="s">
        <v>21</v>
      </c>
    </row>
    <row r="87" spans="1:11">
      <c r="A87" s="4" t="s">
        <v>100</v>
      </c>
      <c r="B87" s="4">
        <v>28484</v>
      </c>
      <c r="C87" s="4">
        <v>27682</v>
      </c>
      <c r="D87" s="4">
        <v>29030</v>
      </c>
      <c r="E87" s="4">
        <v>27592</v>
      </c>
      <c r="F87" s="4">
        <v>26921</v>
      </c>
      <c r="G87" s="4">
        <v>29013</v>
      </c>
      <c r="H87" s="4">
        <v>27282</v>
      </c>
      <c r="I87" s="4">
        <v>27467</v>
      </c>
      <c r="J87" s="6" t="s">
        <v>14</v>
      </c>
      <c r="K87" s="6" t="s">
        <v>21</v>
      </c>
    </row>
    <row r="88" spans="1:11">
      <c r="A88" s="4" t="s">
        <v>180</v>
      </c>
      <c r="B88" s="4">
        <v>27245</v>
      </c>
      <c r="C88" s="4">
        <v>27461</v>
      </c>
      <c r="D88" s="4">
        <v>25920</v>
      </c>
      <c r="E88" s="4">
        <v>27551</v>
      </c>
      <c r="F88" s="4">
        <v>26580</v>
      </c>
      <c r="G88" s="4">
        <v>25383</v>
      </c>
      <c r="H88" s="4">
        <v>26272</v>
      </c>
      <c r="I88" s="4">
        <v>27286</v>
      </c>
      <c r="J88" s="6" t="s">
        <v>14</v>
      </c>
      <c r="K88" s="6" t="s">
        <v>21</v>
      </c>
    </row>
    <row r="89" spans="1:11">
      <c r="A89" s="4" t="s">
        <v>275</v>
      </c>
      <c r="B89" s="4">
        <v>31290</v>
      </c>
      <c r="C89" s="4">
        <v>32585</v>
      </c>
      <c r="D89" s="4">
        <v>32948</v>
      </c>
      <c r="E89" s="4">
        <v>31087</v>
      </c>
      <c r="F89" s="4">
        <v>31434</v>
      </c>
      <c r="G89" s="4">
        <v>31339</v>
      </c>
      <c r="H89" s="4">
        <v>33511</v>
      </c>
      <c r="I89" s="4">
        <v>32767</v>
      </c>
      <c r="J89" s="6" t="s">
        <v>13</v>
      </c>
      <c r="K89" s="6" t="s">
        <v>21</v>
      </c>
    </row>
    <row r="90" spans="1:11">
      <c r="A90" s="4" t="s">
        <v>61</v>
      </c>
      <c r="B90" s="4">
        <v>36595</v>
      </c>
      <c r="C90" s="4">
        <v>37761</v>
      </c>
      <c r="D90" s="4">
        <v>36713</v>
      </c>
      <c r="E90" s="4">
        <v>36496</v>
      </c>
      <c r="F90" s="4">
        <v>35198</v>
      </c>
      <c r="G90" s="4">
        <v>37816</v>
      </c>
      <c r="H90" s="4">
        <v>35534</v>
      </c>
      <c r="I90" s="4">
        <v>36087</v>
      </c>
      <c r="J90" s="6" t="s">
        <v>13</v>
      </c>
      <c r="K90" s="6" t="s">
        <v>21</v>
      </c>
    </row>
    <row r="91" spans="1:11">
      <c r="A91" s="4" t="s">
        <v>81</v>
      </c>
      <c r="B91" s="4">
        <v>128156</v>
      </c>
      <c r="C91" s="4">
        <v>125329</v>
      </c>
      <c r="D91" s="4">
        <v>122747</v>
      </c>
      <c r="E91" s="4">
        <v>122484</v>
      </c>
      <c r="F91" s="4">
        <v>129393</v>
      </c>
      <c r="G91" s="4">
        <v>129523</v>
      </c>
      <c r="H91" s="4">
        <v>128480</v>
      </c>
      <c r="I91" s="4">
        <v>124661</v>
      </c>
      <c r="J91" s="6" t="s">
        <v>13</v>
      </c>
      <c r="K91" s="6" t="s">
        <v>21</v>
      </c>
    </row>
    <row r="92" spans="1:11">
      <c r="A92" s="4" t="s">
        <v>194</v>
      </c>
      <c r="B92" s="4">
        <v>16656</v>
      </c>
      <c r="C92" s="4">
        <v>44986</v>
      </c>
      <c r="D92" s="4">
        <v>46322</v>
      </c>
      <c r="E92" s="4">
        <v>46535</v>
      </c>
      <c r="F92" s="4">
        <v>6105</v>
      </c>
      <c r="G92" s="4">
        <v>18918</v>
      </c>
      <c r="H92" s="4">
        <v>32055</v>
      </c>
      <c r="I92" s="4">
        <v>18896</v>
      </c>
      <c r="J92" s="6" t="s">
        <v>13</v>
      </c>
      <c r="K92" s="6" t="s">
        <v>19</v>
      </c>
    </row>
    <row r="93" spans="1:11">
      <c r="A93" s="4" t="s">
        <v>147</v>
      </c>
      <c r="B93" s="4">
        <v>71280</v>
      </c>
      <c r="C93" s="4">
        <v>76810</v>
      </c>
      <c r="D93" s="4">
        <v>58439</v>
      </c>
      <c r="E93" s="4">
        <v>14916</v>
      </c>
      <c r="F93" s="4">
        <v>75794</v>
      </c>
      <c r="G93" s="4">
        <v>76286</v>
      </c>
      <c r="H93" s="4">
        <v>74932</v>
      </c>
      <c r="I93" s="4">
        <v>79017</v>
      </c>
      <c r="J93" s="6" t="s">
        <v>13</v>
      </c>
      <c r="K93" s="6" t="s">
        <v>19</v>
      </c>
    </row>
    <row r="94" spans="1:11">
      <c r="A94" s="4" t="s">
        <v>136</v>
      </c>
      <c r="B94" s="4">
        <v>55757</v>
      </c>
      <c r="C94" s="4">
        <v>53752</v>
      </c>
      <c r="D94" s="4">
        <v>54288</v>
      </c>
      <c r="E94" s="4">
        <v>57642</v>
      </c>
      <c r="F94" s="4">
        <v>54955</v>
      </c>
      <c r="G94" s="4">
        <v>54280</v>
      </c>
      <c r="H94" s="4">
        <v>56909</v>
      </c>
      <c r="I94" s="4">
        <v>56267</v>
      </c>
      <c r="J94" s="6" t="s">
        <v>13</v>
      </c>
      <c r="K94" s="6" t="s">
        <v>21</v>
      </c>
    </row>
    <row r="95" spans="1:11">
      <c r="A95" s="4" t="s">
        <v>255</v>
      </c>
      <c r="B95" s="4">
        <v>13314</v>
      </c>
      <c r="C95" s="4">
        <v>11787</v>
      </c>
      <c r="D95" s="4">
        <v>32395</v>
      </c>
      <c r="E95" s="4">
        <v>28633</v>
      </c>
      <c r="F95" s="4">
        <v>12777</v>
      </c>
      <c r="G95" s="4">
        <v>32465</v>
      </c>
      <c r="H95" s="4">
        <v>5200</v>
      </c>
      <c r="I95" s="4">
        <v>27270</v>
      </c>
      <c r="J95" s="6" t="s">
        <v>14</v>
      </c>
      <c r="K95" s="6" t="s">
        <v>19</v>
      </c>
    </row>
    <row r="96" spans="1:11">
      <c r="A96" s="4" t="s">
        <v>104</v>
      </c>
      <c r="B96" s="4">
        <v>103049</v>
      </c>
      <c r="C96" s="4">
        <v>108447</v>
      </c>
      <c r="D96" s="4">
        <v>140585</v>
      </c>
      <c r="E96" s="4">
        <v>103750</v>
      </c>
      <c r="F96" s="4">
        <v>189594</v>
      </c>
      <c r="G96" s="4">
        <v>167610</v>
      </c>
      <c r="H96" s="4">
        <v>136248</v>
      </c>
      <c r="I96" s="4">
        <v>184560</v>
      </c>
      <c r="J96" s="6" t="s">
        <v>13</v>
      </c>
      <c r="K96" s="6" t="s">
        <v>20</v>
      </c>
    </row>
    <row r="97" spans="1:11">
      <c r="A97" s="4" t="s">
        <v>152</v>
      </c>
      <c r="B97" s="4">
        <v>13405</v>
      </c>
      <c r="C97" s="4">
        <v>14703</v>
      </c>
      <c r="D97" s="4">
        <v>13121</v>
      </c>
      <c r="E97" s="4">
        <v>18924</v>
      </c>
      <c r="F97" s="4">
        <v>19048</v>
      </c>
      <c r="G97" s="4">
        <v>14459</v>
      </c>
      <c r="H97" s="4">
        <v>18263</v>
      </c>
      <c r="I97" s="4">
        <v>13781</v>
      </c>
      <c r="J97" s="6" t="s">
        <v>15</v>
      </c>
      <c r="K97" s="6" t="s">
        <v>20</v>
      </c>
    </row>
    <row r="98" spans="1:11">
      <c r="A98" s="4" t="s">
        <v>128</v>
      </c>
      <c r="B98" s="4">
        <v>17676</v>
      </c>
      <c r="C98" s="4">
        <v>15986</v>
      </c>
      <c r="D98" s="4">
        <v>17564</v>
      </c>
      <c r="E98" s="4">
        <v>10751</v>
      </c>
      <c r="F98" s="4">
        <v>18103</v>
      </c>
      <c r="G98" s="4">
        <v>17423</v>
      </c>
      <c r="H98" s="4">
        <v>14657</v>
      </c>
      <c r="I98" s="4">
        <v>12718</v>
      </c>
      <c r="J98" s="6" t="s">
        <v>15</v>
      </c>
      <c r="K98" s="6" t="s">
        <v>20</v>
      </c>
    </row>
    <row r="99" spans="1:11">
      <c r="A99" s="4" t="s">
        <v>165</v>
      </c>
      <c r="B99" s="4">
        <v>15023</v>
      </c>
      <c r="C99" s="4">
        <v>15375</v>
      </c>
      <c r="D99" s="4">
        <v>18776</v>
      </c>
      <c r="E99" s="4">
        <v>18169</v>
      </c>
      <c r="F99" s="4">
        <v>13165</v>
      </c>
      <c r="G99" s="4">
        <v>10463</v>
      </c>
      <c r="H99" s="4">
        <v>12337</v>
      </c>
      <c r="I99" s="4">
        <v>12055</v>
      </c>
      <c r="J99" s="6" t="s">
        <v>15</v>
      </c>
      <c r="K99" s="6" t="s">
        <v>20</v>
      </c>
    </row>
    <row r="100" spans="1:11">
      <c r="A100" s="4" t="s">
        <v>149</v>
      </c>
      <c r="B100" s="4">
        <v>5200</v>
      </c>
      <c r="C100" s="4">
        <v>29322</v>
      </c>
      <c r="D100" s="4">
        <v>6099</v>
      </c>
      <c r="E100" s="4">
        <v>23749</v>
      </c>
      <c r="F100" s="4">
        <v>9622</v>
      </c>
      <c r="G100" s="4">
        <v>27973</v>
      </c>
      <c r="H100" s="4">
        <v>13176</v>
      </c>
      <c r="I100" s="4">
        <v>9811</v>
      </c>
      <c r="J100" s="6" t="s">
        <v>15</v>
      </c>
      <c r="K100" s="6" t="s">
        <v>19</v>
      </c>
    </row>
    <row r="101" spans="1:11">
      <c r="A101" s="4" t="s">
        <v>218</v>
      </c>
      <c r="B101" s="4">
        <v>14566</v>
      </c>
      <c r="C101" s="4">
        <v>14604</v>
      </c>
      <c r="D101" s="4">
        <v>15420</v>
      </c>
      <c r="E101" s="4">
        <v>14687</v>
      </c>
      <c r="F101" s="4">
        <v>15334</v>
      </c>
      <c r="G101" s="4">
        <v>14623</v>
      </c>
      <c r="H101" s="4">
        <v>14203</v>
      </c>
      <c r="I101" s="4">
        <v>14902</v>
      </c>
      <c r="J101" s="6" t="s">
        <v>15</v>
      </c>
      <c r="K101" s="6" t="s">
        <v>21</v>
      </c>
    </row>
    <row r="102" spans="1:11">
      <c r="A102" s="4" t="s">
        <v>73</v>
      </c>
      <c r="B102" s="4">
        <v>5200</v>
      </c>
      <c r="C102" s="4">
        <v>34152</v>
      </c>
      <c r="D102" s="4">
        <v>7033</v>
      </c>
      <c r="E102" s="4">
        <v>33470</v>
      </c>
      <c r="F102" s="4">
        <v>7855</v>
      </c>
      <c r="G102" s="4">
        <v>42339</v>
      </c>
      <c r="H102" s="4">
        <v>9758</v>
      </c>
      <c r="I102" s="4">
        <v>45170</v>
      </c>
      <c r="J102" s="6" t="s">
        <v>14</v>
      </c>
      <c r="K102" s="6" t="s">
        <v>19</v>
      </c>
    </row>
    <row r="103" spans="1:11">
      <c r="A103" s="4" t="s">
        <v>242</v>
      </c>
      <c r="B103" s="4">
        <v>39580</v>
      </c>
      <c r="C103" s="4">
        <v>46053</v>
      </c>
      <c r="D103" s="4">
        <v>184834</v>
      </c>
      <c r="E103" s="4">
        <v>44818</v>
      </c>
      <c r="F103" s="4">
        <v>45272</v>
      </c>
      <c r="G103" s="4">
        <v>80529</v>
      </c>
      <c r="H103" s="4">
        <v>37288</v>
      </c>
      <c r="I103" s="4">
        <v>223059</v>
      </c>
      <c r="J103" s="6" t="s">
        <v>13</v>
      </c>
      <c r="K103" s="6" t="s">
        <v>19</v>
      </c>
    </row>
    <row r="104" spans="1:11">
      <c r="A104" s="4" t="s">
        <v>172</v>
      </c>
      <c r="B104" s="4">
        <v>58425</v>
      </c>
      <c r="C104" s="4">
        <v>71640</v>
      </c>
      <c r="D104" s="4">
        <v>67322</v>
      </c>
      <c r="E104" s="4">
        <v>67386</v>
      </c>
      <c r="F104" s="4">
        <v>70766</v>
      </c>
      <c r="G104" s="4">
        <v>72382</v>
      </c>
      <c r="H104" s="4">
        <v>44930</v>
      </c>
      <c r="I104" s="4">
        <v>47102</v>
      </c>
      <c r="J104" s="6" t="s">
        <v>13</v>
      </c>
      <c r="K104" s="6" t="s">
        <v>20</v>
      </c>
    </row>
    <row r="105" spans="1:11">
      <c r="A105" s="4" t="s">
        <v>277</v>
      </c>
      <c r="B105" s="4">
        <v>40335</v>
      </c>
      <c r="C105" s="4">
        <v>41670</v>
      </c>
      <c r="D105" s="4">
        <v>31953</v>
      </c>
      <c r="E105" s="4">
        <v>39834</v>
      </c>
      <c r="F105" s="4">
        <v>36231</v>
      </c>
      <c r="G105" s="4">
        <v>51624</v>
      </c>
      <c r="H105" s="4">
        <v>37009</v>
      </c>
      <c r="I105" s="4">
        <v>36758</v>
      </c>
      <c r="J105" s="6" t="s">
        <v>13</v>
      </c>
      <c r="K105" s="6" t="s">
        <v>20</v>
      </c>
    </row>
    <row r="106" spans="1:11">
      <c r="A106" s="4" t="s">
        <v>84</v>
      </c>
      <c r="B106" s="4">
        <v>30195</v>
      </c>
      <c r="C106" s="4">
        <v>64770</v>
      </c>
      <c r="D106" s="4">
        <v>16498</v>
      </c>
      <c r="E106" s="4">
        <v>64031</v>
      </c>
      <c r="F106" s="4">
        <v>11103</v>
      </c>
      <c r="G106" s="4">
        <v>16064</v>
      </c>
      <c r="H106" s="4">
        <v>36695</v>
      </c>
      <c r="I106" s="4">
        <v>85228</v>
      </c>
      <c r="J106" s="6" t="s">
        <v>13</v>
      </c>
      <c r="K106" s="6" t="s">
        <v>19</v>
      </c>
    </row>
    <row r="107" spans="1:11">
      <c r="A107" s="4" t="s">
        <v>89</v>
      </c>
      <c r="B107" s="4">
        <v>27364</v>
      </c>
      <c r="C107" s="4">
        <v>27363</v>
      </c>
      <c r="D107" s="4">
        <v>28233</v>
      </c>
      <c r="E107" s="4">
        <v>27492</v>
      </c>
      <c r="F107" s="4">
        <v>28046</v>
      </c>
      <c r="G107" s="4">
        <v>27345</v>
      </c>
      <c r="H107" s="4">
        <v>29531</v>
      </c>
      <c r="I107" s="4">
        <v>27867</v>
      </c>
      <c r="J107" s="6" t="s">
        <v>14</v>
      </c>
      <c r="K107" s="6" t="s">
        <v>21</v>
      </c>
    </row>
    <row r="108" spans="1:11">
      <c r="A108" s="4" t="s">
        <v>178</v>
      </c>
      <c r="B108" s="4">
        <v>53509</v>
      </c>
      <c r="C108" s="4">
        <v>79586</v>
      </c>
      <c r="D108" s="4">
        <v>68674</v>
      </c>
      <c r="E108" s="4">
        <v>68809</v>
      </c>
      <c r="F108" s="4">
        <v>77428</v>
      </c>
      <c r="G108" s="4">
        <v>48976</v>
      </c>
      <c r="H108" s="4">
        <v>73563</v>
      </c>
      <c r="I108" s="4">
        <v>58797</v>
      </c>
      <c r="J108" s="6" t="s">
        <v>13</v>
      </c>
      <c r="K108" s="6" t="s">
        <v>20</v>
      </c>
    </row>
    <row r="109" spans="1:11">
      <c r="A109" s="4" t="s">
        <v>163</v>
      </c>
      <c r="B109" s="4">
        <v>7501</v>
      </c>
      <c r="C109" s="4">
        <v>29825</v>
      </c>
      <c r="D109" s="4">
        <v>5994</v>
      </c>
      <c r="E109" s="4">
        <v>41652</v>
      </c>
      <c r="F109" s="4">
        <v>30627</v>
      </c>
      <c r="G109" s="4">
        <v>15221</v>
      </c>
      <c r="H109" s="4">
        <v>6743</v>
      </c>
      <c r="I109" s="4">
        <v>13605</v>
      </c>
      <c r="J109" s="6" t="s">
        <v>14</v>
      </c>
      <c r="K109" s="6" t="s">
        <v>19</v>
      </c>
    </row>
    <row r="110" spans="1:11">
      <c r="A110" s="4" t="s">
        <v>226</v>
      </c>
      <c r="B110" s="4">
        <v>14664</v>
      </c>
      <c r="C110" s="4">
        <v>13549</v>
      </c>
      <c r="D110" s="4">
        <v>17438</v>
      </c>
      <c r="E110" s="4">
        <v>17242</v>
      </c>
      <c r="F110" s="4">
        <v>15144</v>
      </c>
      <c r="G110" s="4">
        <v>15194</v>
      </c>
      <c r="H110" s="4">
        <v>10400</v>
      </c>
      <c r="I110" s="4">
        <v>18297</v>
      </c>
      <c r="J110" s="6" t="s">
        <v>15</v>
      </c>
      <c r="K110" s="6" t="s">
        <v>20</v>
      </c>
    </row>
    <row r="111" spans="1:11">
      <c r="A111" s="4" t="s">
        <v>248</v>
      </c>
      <c r="B111" s="4">
        <v>13706</v>
      </c>
      <c r="C111" s="4">
        <v>13794</v>
      </c>
      <c r="D111" s="4">
        <v>12819</v>
      </c>
      <c r="E111" s="4">
        <v>13189</v>
      </c>
      <c r="F111" s="4">
        <v>13811</v>
      </c>
      <c r="G111" s="4">
        <v>13201</v>
      </c>
      <c r="H111" s="4">
        <v>12880</v>
      </c>
      <c r="I111" s="4">
        <v>13375</v>
      </c>
      <c r="J111" s="6" t="s">
        <v>15</v>
      </c>
      <c r="K111" s="6" t="s">
        <v>21</v>
      </c>
    </row>
    <row r="112" spans="1:11">
      <c r="A112" s="4" t="s">
        <v>70</v>
      </c>
      <c r="B112" s="4">
        <v>20048</v>
      </c>
      <c r="C112" s="4">
        <v>16308</v>
      </c>
      <c r="D112" s="4">
        <v>64355</v>
      </c>
      <c r="E112" s="4">
        <v>51261</v>
      </c>
      <c r="F112" s="4">
        <v>11965</v>
      </c>
      <c r="G112" s="4">
        <v>58954</v>
      </c>
      <c r="H112" s="4">
        <v>17206</v>
      </c>
      <c r="I112" s="4">
        <v>18472</v>
      </c>
      <c r="J112" s="6" t="s">
        <v>13</v>
      </c>
      <c r="K112" s="6" t="s">
        <v>19</v>
      </c>
    </row>
    <row r="113" spans="1:11">
      <c r="A113" s="4" t="s">
        <v>148</v>
      </c>
      <c r="B113" s="4">
        <v>19022</v>
      </c>
      <c r="C113" s="4">
        <v>19404</v>
      </c>
      <c r="D113" s="4">
        <v>19049</v>
      </c>
      <c r="E113" s="4">
        <v>19002</v>
      </c>
      <c r="F113" s="4">
        <v>18971</v>
      </c>
      <c r="G113" s="4">
        <v>18822</v>
      </c>
      <c r="H113" s="4">
        <v>19591</v>
      </c>
      <c r="I113" s="4">
        <v>19338</v>
      </c>
      <c r="J113" s="6" t="s">
        <v>14</v>
      </c>
      <c r="K113" s="6" t="s">
        <v>21</v>
      </c>
    </row>
    <row r="114" spans="1:11">
      <c r="A114" s="4" t="s">
        <v>196</v>
      </c>
      <c r="B114" s="4">
        <v>30431</v>
      </c>
      <c r="C114" s="4">
        <v>277253</v>
      </c>
      <c r="D114" s="4">
        <v>333082</v>
      </c>
      <c r="E114" s="4">
        <v>59043</v>
      </c>
      <c r="F114" s="4">
        <v>264932</v>
      </c>
      <c r="G114" s="4">
        <v>283499</v>
      </c>
      <c r="H114" s="4">
        <v>234557</v>
      </c>
      <c r="I114" s="4">
        <v>116150</v>
      </c>
      <c r="J114" s="6" t="s">
        <v>13</v>
      </c>
      <c r="K114" s="6" t="s">
        <v>19</v>
      </c>
    </row>
    <row r="115" spans="1:11">
      <c r="A115" s="4" t="s">
        <v>261</v>
      </c>
      <c r="B115" s="4">
        <v>17212</v>
      </c>
      <c r="C115" s="4">
        <v>17605</v>
      </c>
      <c r="D115" s="4">
        <v>16800</v>
      </c>
      <c r="E115" s="4">
        <v>17528</v>
      </c>
      <c r="F115" s="4">
        <v>16694</v>
      </c>
      <c r="G115" s="4">
        <v>17062</v>
      </c>
      <c r="H115" s="4">
        <v>17980</v>
      </c>
      <c r="I115" s="4">
        <v>17497</v>
      </c>
      <c r="J115" s="6" t="s">
        <v>14</v>
      </c>
      <c r="K115" s="6" t="s">
        <v>21</v>
      </c>
    </row>
    <row r="116" spans="1:11">
      <c r="A116" s="4" t="s">
        <v>253</v>
      </c>
      <c r="B116" s="4">
        <v>12423</v>
      </c>
      <c r="C116" s="4">
        <v>14842</v>
      </c>
      <c r="D116" s="4">
        <v>12516</v>
      </c>
      <c r="E116" s="4">
        <v>16886</v>
      </c>
      <c r="F116" s="4">
        <v>14934</v>
      </c>
      <c r="G116" s="4">
        <v>16581</v>
      </c>
      <c r="H116" s="4">
        <v>13933</v>
      </c>
      <c r="I116" s="4">
        <v>14956</v>
      </c>
      <c r="J116" s="6" t="s">
        <v>15</v>
      </c>
      <c r="K116" s="6" t="s">
        <v>20</v>
      </c>
    </row>
    <row r="117" spans="1:11">
      <c r="A117" s="4" t="s">
        <v>161</v>
      </c>
      <c r="B117" s="4">
        <v>11732</v>
      </c>
      <c r="C117" s="4">
        <v>16202</v>
      </c>
      <c r="D117" s="4">
        <v>84778</v>
      </c>
      <c r="E117" s="4">
        <v>67898</v>
      </c>
      <c r="F117" s="4">
        <v>17918</v>
      </c>
      <c r="G117" s="4">
        <v>30409</v>
      </c>
      <c r="H117" s="4">
        <v>14912</v>
      </c>
      <c r="I117" s="4">
        <v>12060</v>
      </c>
      <c r="J117" s="6" t="s">
        <v>13</v>
      </c>
      <c r="K117" s="6" t="s">
        <v>19</v>
      </c>
    </row>
    <row r="118" spans="1:11">
      <c r="A118" s="4" t="s">
        <v>179</v>
      </c>
      <c r="B118" s="4">
        <v>17150</v>
      </c>
      <c r="C118" s="4">
        <v>15129</v>
      </c>
      <c r="D118" s="4">
        <v>19692</v>
      </c>
      <c r="E118" s="4">
        <v>14143</v>
      </c>
      <c r="F118" s="4">
        <v>16464</v>
      </c>
      <c r="G118" s="4">
        <v>18150</v>
      </c>
      <c r="H118" s="4">
        <v>18045</v>
      </c>
      <c r="I118" s="4">
        <v>21052</v>
      </c>
      <c r="J118" s="6" t="s">
        <v>14</v>
      </c>
      <c r="K118" s="6" t="s">
        <v>20</v>
      </c>
    </row>
    <row r="119" spans="1:11">
      <c r="A119" s="4" t="s">
        <v>154</v>
      </c>
      <c r="B119" s="4">
        <v>14479</v>
      </c>
      <c r="C119" s="4">
        <v>14620</v>
      </c>
      <c r="D119" s="4">
        <v>14270</v>
      </c>
      <c r="E119" s="4">
        <v>14728</v>
      </c>
      <c r="F119" s="4">
        <v>15228</v>
      </c>
      <c r="G119" s="4">
        <v>15230</v>
      </c>
      <c r="H119" s="4">
        <v>15285</v>
      </c>
      <c r="I119" s="4">
        <v>14337</v>
      </c>
      <c r="J119" s="6" t="s">
        <v>15</v>
      </c>
      <c r="K119" s="6" t="s">
        <v>21</v>
      </c>
    </row>
    <row r="120" spans="1:11">
      <c r="A120" s="4" t="s">
        <v>176</v>
      </c>
      <c r="B120" s="4">
        <v>24889</v>
      </c>
      <c r="C120" s="4">
        <v>24597</v>
      </c>
      <c r="D120" s="4">
        <v>24241</v>
      </c>
      <c r="E120" s="4">
        <v>24806</v>
      </c>
      <c r="F120" s="4">
        <v>24327</v>
      </c>
      <c r="G120" s="4">
        <v>24013</v>
      </c>
      <c r="H120" s="4">
        <v>25067</v>
      </c>
      <c r="I120" s="4">
        <v>24329</v>
      </c>
      <c r="J120" s="6" t="s">
        <v>14</v>
      </c>
      <c r="K120" s="6" t="s">
        <v>21</v>
      </c>
    </row>
    <row r="121" spans="1:11">
      <c r="A121" s="4" t="s">
        <v>130</v>
      </c>
      <c r="B121" s="4">
        <v>79862</v>
      </c>
      <c r="C121" s="4">
        <v>79255</v>
      </c>
      <c r="D121" s="4">
        <v>56759</v>
      </c>
      <c r="E121" s="4">
        <v>91630</v>
      </c>
      <c r="F121" s="4">
        <v>81242</v>
      </c>
      <c r="G121" s="4">
        <v>84594</v>
      </c>
      <c r="H121" s="4">
        <v>94381</v>
      </c>
      <c r="I121" s="4">
        <v>89920</v>
      </c>
      <c r="J121" s="6" t="s">
        <v>13</v>
      </c>
      <c r="K121" s="6" t="s">
        <v>20</v>
      </c>
    </row>
    <row r="122" spans="1:11">
      <c r="A122" s="4" t="s">
        <v>173</v>
      </c>
      <c r="B122" s="4">
        <v>15869</v>
      </c>
      <c r="C122" s="4">
        <v>23512</v>
      </c>
      <c r="D122" s="4">
        <v>127793</v>
      </c>
      <c r="E122" s="4">
        <v>14260</v>
      </c>
      <c r="F122" s="4">
        <v>107949</v>
      </c>
      <c r="G122" s="4">
        <v>13063</v>
      </c>
      <c r="H122" s="4">
        <v>100226</v>
      </c>
      <c r="I122" s="4">
        <v>120684</v>
      </c>
      <c r="J122" s="6" t="s">
        <v>13</v>
      </c>
      <c r="K122" s="6" t="s">
        <v>19</v>
      </c>
    </row>
    <row r="123" spans="1:11">
      <c r="A123" s="4" t="s">
        <v>117</v>
      </c>
      <c r="B123" s="4">
        <v>154135</v>
      </c>
      <c r="C123" s="4">
        <v>162822</v>
      </c>
      <c r="D123" s="4">
        <v>158289</v>
      </c>
      <c r="E123" s="4">
        <v>151500</v>
      </c>
      <c r="F123" s="4">
        <v>156219</v>
      </c>
      <c r="G123" s="4">
        <v>151230</v>
      </c>
      <c r="H123" s="4">
        <v>150260</v>
      </c>
      <c r="I123" s="4">
        <v>160989</v>
      </c>
      <c r="J123" s="6" t="s">
        <v>13</v>
      </c>
      <c r="K123" s="6" t="s">
        <v>21</v>
      </c>
    </row>
    <row r="124" spans="1:11">
      <c r="A124" s="4" t="s">
        <v>175</v>
      </c>
      <c r="B124" s="4">
        <v>18184</v>
      </c>
      <c r="C124" s="4">
        <v>15219</v>
      </c>
      <c r="D124" s="4">
        <v>21556</v>
      </c>
      <c r="E124" s="4">
        <v>19144</v>
      </c>
      <c r="F124" s="4">
        <v>14277</v>
      </c>
      <c r="G124" s="4">
        <v>14841</v>
      </c>
      <c r="H124" s="4">
        <v>19739</v>
      </c>
      <c r="I124" s="4">
        <v>17160</v>
      </c>
      <c r="J124" s="6" t="s">
        <v>14</v>
      </c>
      <c r="K124" s="6" t="s">
        <v>20</v>
      </c>
    </row>
    <row r="125" spans="1:11">
      <c r="A125" s="4" t="s">
        <v>97</v>
      </c>
      <c r="B125" s="4">
        <v>19030</v>
      </c>
      <c r="C125" s="4">
        <v>18692</v>
      </c>
      <c r="D125" s="4">
        <v>19124</v>
      </c>
      <c r="E125" s="4">
        <v>17766</v>
      </c>
      <c r="F125" s="4">
        <v>18149</v>
      </c>
      <c r="G125" s="4">
        <v>17909</v>
      </c>
      <c r="H125" s="4">
        <v>18758</v>
      </c>
      <c r="I125" s="4">
        <v>17581</v>
      </c>
      <c r="J125" s="6" t="s">
        <v>14</v>
      </c>
      <c r="K125" s="6" t="s">
        <v>21</v>
      </c>
    </row>
    <row r="126" spans="1:11">
      <c r="A126" s="4" t="s">
        <v>199</v>
      </c>
      <c r="B126" s="4">
        <v>19907</v>
      </c>
      <c r="C126" s="4">
        <v>20636</v>
      </c>
      <c r="D126" s="4">
        <v>20686</v>
      </c>
      <c r="E126" s="4">
        <v>20574</v>
      </c>
      <c r="F126" s="4">
        <v>19764</v>
      </c>
      <c r="G126" s="4">
        <v>21004</v>
      </c>
      <c r="H126" s="4">
        <v>20473</v>
      </c>
      <c r="I126" s="4">
        <v>19922</v>
      </c>
      <c r="J126" s="6" t="s">
        <v>14</v>
      </c>
      <c r="K126" s="6" t="s">
        <v>21</v>
      </c>
    </row>
    <row r="127" spans="1:11">
      <c r="A127" s="4" t="s">
        <v>169</v>
      </c>
      <c r="B127" s="4">
        <v>35642</v>
      </c>
      <c r="C127" s="4">
        <v>31491</v>
      </c>
      <c r="D127" s="4">
        <v>37253</v>
      </c>
      <c r="E127" s="4">
        <v>5589</v>
      </c>
      <c r="F127" s="4">
        <v>6128</v>
      </c>
      <c r="G127" s="4">
        <v>31895</v>
      </c>
      <c r="H127" s="4">
        <v>14039</v>
      </c>
      <c r="I127" s="4">
        <v>14210</v>
      </c>
      <c r="J127" s="6" t="s">
        <v>14</v>
      </c>
      <c r="K127" s="6" t="s">
        <v>19</v>
      </c>
    </row>
    <row r="128" spans="1:11">
      <c r="A128" s="4" t="s">
        <v>202</v>
      </c>
      <c r="B128" s="4">
        <v>99745</v>
      </c>
      <c r="C128" s="4">
        <v>101234</v>
      </c>
      <c r="D128" s="4">
        <v>99195</v>
      </c>
      <c r="E128" s="4">
        <v>94046</v>
      </c>
      <c r="F128" s="4">
        <v>72330</v>
      </c>
      <c r="G128" s="4">
        <v>92522</v>
      </c>
      <c r="H128" s="4">
        <v>78260</v>
      </c>
      <c r="I128" s="4">
        <v>83940</v>
      </c>
      <c r="J128" s="6" t="s">
        <v>13</v>
      </c>
      <c r="K128" s="6" t="s">
        <v>20</v>
      </c>
    </row>
    <row r="129" spans="1:11">
      <c r="A129" s="4" t="s">
        <v>207</v>
      </c>
      <c r="B129" s="4">
        <v>12644</v>
      </c>
      <c r="C129" s="4">
        <v>18508</v>
      </c>
      <c r="D129" s="4">
        <v>14704</v>
      </c>
      <c r="E129" s="4">
        <v>16017</v>
      </c>
      <c r="F129" s="4">
        <v>15722</v>
      </c>
      <c r="G129" s="4">
        <v>13006</v>
      </c>
      <c r="H129" s="4">
        <v>14395</v>
      </c>
      <c r="I129" s="4">
        <v>12005</v>
      </c>
      <c r="J129" s="6" t="s">
        <v>15</v>
      </c>
      <c r="K129" s="6" t="s">
        <v>20</v>
      </c>
    </row>
    <row r="130" spans="1:11">
      <c r="A130" s="4" t="s">
        <v>120</v>
      </c>
      <c r="B130" s="4">
        <v>15169</v>
      </c>
      <c r="C130" s="4">
        <v>20210</v>
      </c>
      <c r="D130" s="4">
        <v>16267</v>
      </c>
      <c r="E130" s="4">
        <v>16445</v>
      </c>
      <c r="F130" s="4">
        <v>15991</v>
      </c>
      <c r="G130" s="4">
        <v>12881</v>
      </c>
      <c r="H130" s="4">
        <v>19165</v>
      </c>
      <c r="I130" s="4">
        <v>21777</v>
      </c>
      <c r="J130" s="6" t="s">
        <v>14</v>
      </c>
      <c r="K130" s="6" t="s">
        <v>20</v>
      </c>
    </row>
    <row r="131" spans="1:11">
      <c r="A131" s="4" t="s">
        <v>108</v>
      </c>
      <c r="B131" s="4">
        <v>16355</v>
      </c>
      <c r="C131" s="4">
        <v>16913</v>
      </c>
      <c r="D131" s="4">
        <v>16920</v>
      </c>
      <c r="E131" s="4">
        <v>17096</v>
      </c>
      <c r="F131" s="4">
        <v>15945</v>
      </c>
      <c r="G131" s="4">
        <v>17073</v>
      </c>
      <c r="H131" s="4">
        <v>16404</v>
      </c>
      <c r="I131" s="4">
        <v>17050</v>
      </c>
      <c r="J131" s="6" t="s">
        <v>14</v>
      </c>
      <c r="K131" s="6" t="s">
        <v>21</v>
      </c>
    </row>
    <row r="132" spans="1:11">
      <c r="A132" s="4" t="s">
        <v>211</v>
      </c>
      <c r="B132" s="4">
        <v>20753</v>
      </c>
      <c r="C132" s="4">
        <v>20197</v>
      </c>
      <c r="D132" s="4">
        <v>18943</v>
      </c>
      <c r="E132" s="4">
        <v>13064</v>
      </c>
      <c r="F132" s="4">
        <v>18172</v>
      </c>
      <c r="G132" s="4">
        <v>14115</v>
      </c>
      <c r="H132" s="4">
        <v>22917</v>
      </c>
      <c r="I132" s="4">
        <v>16682</v>
      </c>
      <c r="J132" s="6" t="s">
        <v>14</v>
      </c>
      <c r="K132" s="6" t="s">
        <v>20</v>
      </c>
    </row>
    <row r="133" spans="1:11">
      <c r="A133" s="4" t="s">
        <v>121</v>
      </c>
      <c r="B133" s="4">
        <v>8704</v>
      </c>
      <c r="C133" s="4">
        <v>8319</v>
      </c>
      <c r="D133" s="4">
        <v>11349</v>
      </c>
      <c r="E133" s="4">
        <v>5200</v>
      </c>
      <c r="F133" s="4">
        <v>19861</v>
      </c>
      <c r="G133" s="4">
        <v>25808</v>
      </c>
      <c r="H133" s="4">
        <v>5200</v>
      </c>
      <c r="I133" s="4">
        <v>25566</v>
      </c>
      <c r="J133" s="6" t="s">
        <v>15</v>
      </c>
      <c r="K133" s="6" t="s">
        <v>19</v>
      </c>
    </row>
    <row r="134" spans="1:11">
      <c r="A134" s="4" t="s">
        <v>215</v>
      </c>
      <c r="B134" s="4">
        <v>10933</v>
      </c>
      <c r="C134" s="4">
        <v>5918</v>
      </c>
      <c r="D134" s="4">
        <v>21079</v>
      </c>
      <c r="E134" s="4">
        <v>30360</v>
      </c>
      <c r="F134" s="4">
        <v>31750</v>
      </c>
      <c r="G134" s="4">
        <v>5489</v>
      </c>
      <c r="H134" s="4">
        <v>12276</v>
      </c>
      <c r="I134" s="4">
        <v>26054</v>
      </c>
      <c r="J134" s="6" t="s">
        <v>14</v>
      </c>
      <c r="K134" s="6" t="s">
        <v>19</v>
      </c>
    </row>
    <row r="135" spans="1:11">
      <c r="A135" s="4" t="s">
        <v>212</v>
      </c>
      <c r="B135" s="4">
        <v>35157</v>
      </c>
      <c r="C135" s="4">
        <v>36105</v>
      </c>
      <c r="D135" s="4">
        <v>37509</v>
      </c>
      <c r="E135" s="4">
        <v>34897</v>
      </c>
      <c r="F135" s="4">
        <v>36597</v>
      </c>
      <c r="G135" s="4">
        <v>36418</v>
      </c>
      <c r="H135" s="4">
        <v>37220</v>
      </c>
      <c r="I135" s="4">
        <v>35682</v>
      </c>
      <c r="J135" s="6" t="s">
        <v>13</v>
      </c>
      <c r="K135" s="6" t="s">
        <v>21</v>
      </c>
    </row>
    <row r="136" spans="1:11">
      <c r="A136" s="4" t="s">
        <v>60</v>
      </c>
      <c r="B136" s="4">
        <v>102755</v>
      </c>
      <c r="C136" s="4">
        <v>106902</v>
      </c>
      <c r="D136" s="4">
        <v>103199</v>
      </c>
      <c r="E136" s="4">
        <v>101243</v>
      </c>
      <c r="F136" s="4">
        <v>99304</v>
      </c>
      <c r="G136" s="4">
        <v>103835</v>
      </c>
      <c r="H136" s="4">
        <v>103731</v>
      </c>
      <c r="I136" s="4">
        <v>102388</v>
      </c>
      <c r="J136" s="6" t="s">
        <v>13</v>
      </c>
      <c r="K136" s="6" t="s">
        <v>21</v>
      </c>
    </row>
    <row r="137" spans="1:11">
      <c r="A137" s="4" t="s">
        <v>162</v>
      </c>
      <c r="B137" s="4">
        <v>21671</v>
      </c>
      <c r="C137" s="4">
        <v>21905</v>
      </c>
      <c r="D137" s="4">
        <v>21233</v>
      </c>
      <c r="E137" s="4">
        <v>21910</v>
      </c>
      <c r="F137" s="4">
        <v>21346</v>
      </c>
      <c r="G137" s="4">
        <v>21478</v>
      </c>
      <c r="H137" s="4">
        <v>20738</v>
      </c>
      <c r="I137" s="4">
        <v>21849</v>
      </c>
      <c r="J137" s="6" t="s">
        <v>14</v>
      </c>
      <c r="K137" s="6" t="s">
        <v>21</v>
      </c>
    </row>
    <row r="138" spans="1:11">
      <c r="A138" s="4" t="s">
        <v>187</v>
      </c>
      <c r="B138" s="4">
        <v>45249</v>
      </c>
      <c r="C138" s="4">
        <v>47249</v>
      </c>
      <c r="D138" s="4">
        <v>53530</v>
      </c>
      <c r="E138" s="4">
        <v>42688</v>
      </c>
      <c r="F138" s="4">
        <v>59303</v>
      </c>
      <c r="G138" s="4">
        <v>33726</v>
      </c>
      <c r="H138" s="4">
        <v>54146</v>
      </c>
      <c r="I138" s="4">
        <v>34804</v>
      </c>
      <c r="J138" s="6" t="s">
        <v>13</v>
      </c>
      <c r="K138" s="6" t="s">
        <v>20</v>
      </c>
    </row>
    <row r="139" spans="1:11">
      <c r="A139" s="4" t="s">
        <v>164</v>
      </c>
      <c r="B139" s="4">
        <v>28245</v>
      </c>
      <c r="C139" s="4">
        <v>28024</v>
      </c>
      <c r="D139" s="4">
        <v>18969</v>
      </c>
      <c r="E139" s="4">
        <v>17460</v>
      </c>
      <c r="F139" s="4">
        <v>26863</v>
      </c>
      <c r="G139" s="4">
        <v>25856</v>
      </c>
      <c r="H139" s="4">
        <v>19274</v>
      </c>
      <c r="I139" s="4">
        <v>27126</v>
      </c>
      <c r="J139" s="6" t="s">
        <v>14</v>
      </c>
      <c r="K139" s="6" t="s">
        <v>20</v>
      </c>
    </row>
    <row r="140" spans="1:11">
      <c r="A140" s="4" t="s">
        <v>95</v>
      </c>
      <c r="B140" s="4">
        <v>29086</v>
      </c>
      <c r="C140" s="4">
        <v>72805</v>
      </c>
      <c r="D140" s="4">
        <v>270583</v>
      </c>
      <c r="E140" s="4">
        <v>117695</v>
      </c>
      <c r="F140" s="4">
        <v>86665</v>
      </c>
      <c r="G140" s="4">
        <v>263288</v>
      </c>
      <c r="H140" s="4">
        <v>114182</v>
      </c>
      <c r="I140" s="4">
        <v>230285</v>
      </c>
      <c r="J140" s="6" t="s">
        <v>13</v>
      </c>
      <c r="K140" s="6" t="s">
        <v>19</v>
      </c>
    </row>
    <row r="141" spans="1:11">
      <c r="A141" s="4" t="s">
        <v>204</v>
      </c>
      <c r="B141" s="4">
        <v>26021</v>
      </c>
      <c r="C141" s="4">
        <v>25467</v>
      </c>
      <c r="D141" s="4">
        <v>25763</v>
      </c>
      <c r="E141" s="4">
        <v>26197</v>
      </c>
      <c r="F141" s="4">
        <v>24724</v>
      </c>
      <c r="G141" s="4">
        <v>26164</v>
      </c>
      <c r="H141" s="4">
        <v>25695</v>
      </c>
      <c r="I141" s="4">
        <v>26662</v>
      </c>
      <c r="J141" s="6" t="s">
        <v>14</v>
      </c>
      <c r="K141" s="6" t="s">
        <v>21</v>
      </c>
    </row>
    <row r="142" spans="1:11">
      <c r="A142" s="4" t="s">
        <v>283</v>
      </c>
      <c r="B142" s="4">
        <v>18096</v>
      </c>
      <c r="C142" s="4">
        <v>42769</v>
      </c>
      <c r="D142" s="4">
        <v>12968</v>
      </c>
      <c r="E142" s="4">
        <v>125382</v>
      </c>
      <c r="F142" s="4">
        <v>131173</v>
      </c>
      <c r="G142" s="4">
        <v>15987</v>
      </c>
      <c r="H142" s="4">
        <v>38425</v>
      </c>
      <c r="I142" s="4">
        <v>106174</v>
      </c>
      <c r="J142" s="6" t="s">
        <v>13</v>
      </c>
      <c r="K142" s="6" t="s">
        <v>19</v>
      </c>
    </row>
    <row r="143" spans="1:11">
      <c r="A143" s="4" t="s">
        <v>190</v>
      </c>
      <c r="B143" s="4">
        <v>54633</v>
      </c>
      <c r="C143" s="4">
        <v>130294</v>
      </c>
      <c r="D143" s="4">
        <v>189714</v>
      </c>
      <c r="E143" s="4">
        <v>132157</v>
      </c>
      <c r="F143" s="4">
        <v>170418</v>
      </c>
      <c r="G143" s="4">
        <v>56699</v>
      </c>
      <c r="H143" s="4">
        <v>153772</v>
      </c>
      <c r="I143" s="4">
        <v>163900</v>
      </c>
      <c r="J143" s="6" t="s">
        <v>13</v>
      </c>
      <c r="K143" s="6" t="s">
        <v>19</v>
      </c>
    </row>
    <row r="144" spans="1:11">
      <c r="A144" s="4" t="s">
        <v>276</v>
      </c>
      <c r="B144" s="4">
        <v>40271</v>
      </c>
      <c r="C144" s="4">
        <v>30492</v>
      </c>
      <c r="D144" s="4">
        <v>39071</v>
      </c>
      <c r="E144" s="4">
        <v>36355</v>
      </c>
      <c r="F144" s="4">
        <v>32414</v>
      </c>
      <c r="G144" s="4">
        <v>34450</v>
      </c>
      <c r="H144" s="4">
        <v>34464</v>
      </c>
      <c r="I144" s="4">
        <v>37949</v>
      </c>
      <c r="J144" s="6" t="s">
        <v>13</v>
      </c>
      <c r="K144" s="6" t="s">
        <v>21</v>
      </c>
    </row>
    <row r="145" spans="1:11">
      <c r="A145" s="4" t="s">
        <v>197</v>
      </c>
      <c r="B145" s="4">
        <v>120166</v>
      </c>
      <c r="C145" s="4">
        <v>97598</v>
      </c>
      <c r="D145" s="4">
        <v>124570</v>
      </c>
      <c r="E145" s="4">
        <v>117063</v>
      </c>
      <c r="F145" s="4">
        <v>122280</v>
      </c>
      <c r="G145" s="4">
        <v>123618</v>
      </c>
      <c r="H145" s="4">
        <v>81948</v>
      </c>
      <c r="I145" s="4">
        <v>108032</v>
      </c>
      <c r="J145" s="6" t="s">
        <v>13</v>
      </c>
      <c r="K145" s="6" t="s">
        <v>20</v>
      </c>
    </row>
    <row r="146" spans="1:11">
      <c r="A146" s="4" t="s">
        <v>244</v>
      </c>
      <c r="B146" s="4">
        <v>9434</v>
      </c>
      <c r="C146" s="4">
        <v>19249</v>
      </c>
      <c r="D146" s="4">
        <v>80500</v>
      </c>
      <c r="E146" s="4">
        <v>27758</v>
      </c>
      <c r="F146" s="4">
        <v>14168</v>
      </c>
      <c r="G146" s="4">
        <v>39001</v>
      </c>
      <c r="H146" s="4">
        <v>89364</v>
      </c>
      <c r="I146" s="4">
        <v>24278</v>
      </c>
      <c r="J146" s="6" t="s">
        <v>13</v>
      </c>
      <c r="K146" s="6" t="s">
        <v>19</v>
      </c>
    </row>
    <row r="147" spans="1:11">
      <c r="A147" s="4" t="s">
        <v>78</v>
      </c>
      <c r="B147" s="4">
        <v>92867</v>
      </c>
      <c r="C147" s="4">
        <v>93045</v>
      </c>
      <c r="D147" s="4">
        <v>77605</v>
      </c>
      <c r="E147" s="4">
        <v>95112</v>
      </c>
      <c r="F147" s="4">
        <v>54137</v>
      </c>
      <c r="G147" s="4">
        <v>85335</v>
      </c>
      <c r="H147" s="4">
        <v>76578</v>
      </c>
      <c r="I147" s="4">
        <v>67194</v>
      </c>
      <c r="J147" s="6" t="s">
        <v>13</v>
      </c>
      <c r="K147" s="6" t="s">
        <v>20</v>
      </c>
    </row>
    <row r="148" spans="1:11">
      <c r="A148" s="4" t="s">
        <v>237</v>
      </c>
      <c r="B148" s="4">
        <v>5200</v>
      </c>
      <c r="C148" s="4">
        <v>32078</v>
      </c>
      <c r="D148" s="4">
        <v>12810</v>
      </c>
      <c r="E148" s="4">
        <v>5200</v>
      </c>
      <c r="F148" s="4">
        <v>27697</v>
      </c>
      <c r="G148" s="4">
        <v>5200</v>
      </c>
      <c r="H148" s="4">
        <v>5200</v>
      </c>
      <c r="I148" s="4">
        <v>5200</v>
      </c>
      <c r="J148" s="6" t="s">
        <v>15</v>
      </c>
      <c r="K148" s="6" t="s">
        <v>19</v>
      </c>
    </row>
    <row r="149" spans="1:11">
      <c r="A149" s="4" t="s">
        <v>243</v>
      </c>
      <c r="B149" s="4">
        <v>45110</v>
      </c>
      <c r="C149" s="4">
        <v>123169</v>
      </c>
      <c r="D149" s="4">
        <v>29999</v>
      </c>
      <c r="E149" s="4">
        <v>159866</v>
      </c>
      <c r="F149" s="4">
        <v>161211</v>
      </c>
      <c r="G149" s="4">
        <v>162982</v>
      </c>
      <c r="H149" s="4">
        <v>67723</v>
      </c>
      <c r="I149" s="4">
        <v>51246</v>
      </c>
      <c r="J149" s="6" t="s">
        <v>13</v>
      </c>
      <c r="K149" s="6" t="s">
        <v>19</v>
      </c>
    </row>
    <row r="150" spans="1:11">
      <c r="A150" s="4" t="s">
        <v>267</v>
      </c>
      <c r="B150" s="4">
        <v>26280</v>
      </c>
      <c r="C150" s="4">
        <v>26244</v>
      </c>
      <c r="D150" s="4">
        <v>26805</v>
      </c>
      <c r="E150" s="4">
        <v>26010</v>
      </c>
      <c r="F150" s="4">
        <v>27002</v>
      </c>
      <c r="G150" s="4">
        <v>25686</v>
      </c>
      <c r="H150" s="4">
        <v>24987</v>
      </c>
      <c r="I150" s="4">
        <v>26636</v>
      </c>
      <c r="J150" s="6" t="s">
        <v>14</v>
      </c>
      <c r="K150" s="6" t="s">
        <v>21</v>
      </c>
    </row>
    <row r="151" spans="1:11">
      <c r="A151" s="4" t="s">
        <v>92</v>
      </c>
      <c r="B151" s="4">
        <v>75867</v>
      </c>
      <c r="C151" s="4">
        <v>77645</v>
      </c>
      <c r="D151" s="4">
        <v>75941</v>
      </c>
      <c r="E151" s="4">
        <v>75940</v>
      </c>
      <c r="F151" s="4">
        <v>73106</v>
      </c>
      <c r="G151" s="4">
        <v>76425</v>
      </c>
      <c r="H151" s="4">
        <v>76044</v>
      </c>
      <c r="I151" s="4">
        <v>76338</v>
      </c>
      <c r="J151" s="6" t="s">
        <v>13</v>
      </c>
      <c r="K151" s="6" t="s">
        <v>21</v>
      </c>
    </row>
    <row r="152" spans="1:11">
      <c r="A152" s="4" t="s">
        <v>139</v>
      </c>
      <c r="B152" s="4">
        <v>98013</v>
      </c>
      <c r="C152" s="4">
        <v>95647</v>
      </c>
      <c r="D152" s="4">
        <v>97229</v>
      </c>
      <c r="E152" s="4">
        <v>100252</v>
      </c>
      <c r="F152" s="4">
        <v>98219</v>
      </c>
      <c r="G152" s="4">
        <v>97291</v>
      </c>
      <c r="H152" s="4">
        <v>95199</v>
      </c>
      <c r="I152" s="4">
        <v>100094</v>
      </c>
      <c r="J152" s="6" t="s">
        <v>13</v>
      </c>
      <c r="K152" s="6" t="s">
        <v>21</v>
      </c>
    </row>
    <row r="153" spans="1:11">
      <c r="A153" s="4" t="s">
        <v>254</v>
      </c>
      <c r="B153" s="4">
        <v>15182</v>
      </c>
      <c r="C153" s="4">
        <v>15599</v>
      </c>
      <c r="D153" s="4">
        <v>15176</v>
      </c>
      <c r="E153" s="4">
        <v>14504</v>
      </c>
      <c r="F153" s="4">
        <v>15768</v>
      </c>
      <c r="G153" s="4">
        <v>15722</v>
      </c>
      <c r="H153" s="4">
        <v>14489</v>
      </c>
      <c r="I153" s="4">
        <v>15099</v>
      </c>
      <c r="J153" s="6" t="s">
        <v>15</v>
      </c>
      <c r="K153" s="6" t="s">
        <v>21</v>
      </c>
    </row>
    <row r="154" spans="1:11">
      <c r="A154" s="4" t="s">
        <v>99</v>
      </c>
      <c r="B154" s="4">
        <v>16343</v>
      </c>
      <c r="C154" s="4">
        <v>16951</v>
      </c>
      <c r="D154" s="4">
        <v>16804</v>
      </c>
      <c r="E154" s="4">
        <v>12606</v>
      </c>
      <c r="F154" s="4">
        <v>12764</v>
      </c>
      <c r="G154" s="4">
        <v>17896</v>
      </c>
      <c r="H154" s="4">
        <v>15802</v>
      </c>
      <c r="I154" s="4">
        <v>16023</v>
      </c>
      <c r="J154" s="6" t="s">
        <v>15</v>
      </c>
      <c r="K154" s="6" t="s">
        <v>20</v>
      </c>
    </row>
    <row r="155" spans="1:11">
      <c r="A155" s="4" t="s">
        <v>191</v>
      </c>
      <c r="B155" s="4">
        <v>58636</v>
      </c>
      <c r="C155" s="4">
        <v>149499</v>
      </c>
      <c r="D155" s="4">
        <v>20339</v>
      </c>
      <c r="E155" s="4">
        <v>58179</v>
      </c>
      <c r="F155" s="4">
        <v>51064</v>
      </c>
      <c r="G155" s="4">
        <v>190386</v>
      </c>
      <c r="H155" s="4">
        <v>164778</v>
      </c>
      <c r="I155" s="4">
        <v>27797</v>
      </c>
      <c r="J155" s="6" t="s">
        <v>13</v>
      </c>
      <c r="K155" s="6" t="s">
        <v>19</v>
      </c>
    </row>
    <row r="156" spans="1:11">
      <c r="A156" s="4" t="s">
        <v>76</v>
      </c>
      <c r="B156" s="4">
        <v>26488</v>
      </c>
      <c r="C156" s="4">
        <v>27107</v>
      </c>
      <c r="D156" s="4">
        <v>28681</v>
      </c>
      <c r="E156" s="4">
        <v>28322</v>
      </c>
      <c r="F156" s="4">
        <v>27349</v>
      </c>
      <c r="G156" s="4">
        <v>26580</v>
      </c>
      <c r="H156" s="4">
        <v>27695</v>
      </c>
      <c r="I156" s="4">
        <v>28337</v>
      </c>
      <c r="J156" s="6" t="s">
        <v>14</v>
      </c>
      <c r="K156" s="6" t="s">
        <v>21</v>
      </c>
    </row>
    <row r="157" spans="1:11">
      <c r="A157" s="4" t="s">
        <v>109</v>
      </c>
      <c r="B157" s="4">
        <v>24695</v>
      </c>
      <c r="C157" s="4">
        <v>27935</v>
      </c>
      <c r="D157" s="4">
        <v>31796</v>
      </c>
      <c r="E157" s="4">
        <v>24076</v>
      </c>
      <c r="F157" s="4">
        <v>8606</v>
      </c>
      <c r="G157" s="4">
        <v>9519</v>
      </c>
      <c r="H157" s="4">
        <v>5597</v>
      </c>
      <c r="I157" s="4">
        <v>5200</v>
      </c>
      <c r="J157" s="6" t="s">
        <v>14</v>
      </c>
      <c r="K157" s="6" t="s">
        <v>19</v>
      </c>
    </row>
    <row r="158" spans="1:11">
      <c r="A158" s="4" t="s">
        <v>203</v>
      </c>
      <c r="B158" s="4">
        <v>23913</v>
      </c>
      <c r="C158" s="4">
        <v>24398</v>
      </c>
      <c r="D158" s="4">
        <v>23874</v>
      </c>
      <c r="E158" s="4">
        <v>24092</v>
      </c>
      <c r="F158" s="4">
        <v>24353</v>
      </c>
      <c r="G158" s="4">
        <v>23886</v>
      </c>
      <c r="H158" s="4">
        <v>24120</v>
      </c>
      <c r="I158" s="4">
        <v>22749</v>
      </c>
      <c r="J158" s="6" t="s">
        <v>14</v>
      </c>
      <c r="K158" s="6" t="s">
        <v>21</v>
      </c>
    </row>
    <row r="159" spans="1:11">
      <c r="A159" s="4" t="s">
        <v>167</v>
      </c>
      <c r="B159" s="4">
        <v>126661</v>
      </c>
      <c r="C159" s="4">
        <v>117866</v>
      </c>
      <c r="D159" s="4">
        <v>120728</v>
      </c>
      <c r="E159" s="4">
        <v>120617</v>
      </c>
      <c r="F159" s="4">
        <v>123454</v>
      </c>
      <c r="G159" s="4">
        <v>121292</v>
      </c>
      <c r="H159" s="4">
        <v>117896</v>
      </c>
      <c r="I159" s="4">
        <v>125033</v>
      </c>
      <c r="J159" s="6" t="s">
        <v>13</v>
      </c>
      <c r="K159" s="6" t="s">
        <v>21</v>
      </c>
    </row>
    <row r="160" spans="1:11">
      <c r="A160" s="4" t="s">
        <v>51</v>
      </c>
      <c r="B160" s="4">
        <v>86396</v>
      </c>
      <c r="C160" s="4">
        <v>83113</v>
      </c>
      <c r="D160" s="4">
        <v>86153</v>
      </c>
      <c r="E160" s="4">
        <v>80088</v>
      </c>
      <c r="F160" s="4">
        <v>81042</v>
      </c>
      <c r="G160" s="4">
        <v>80119</v>
      </c>
      <c r="H160" s="4">
        <v>81530</v>
      </c>
      <c r="I160" s="4">
        <v>84829</v>
      </c>
      <c r="J160" s="6" t="s">
        <v>13</v>
      </c>
      <c r="K160" s="6" t="s">
        <v>21</v>
      </c>
    </row>
    <row r="161" spans="1:11">
      <c r="A161" s="4" t="s">
        <v>134</v>
      </c>
      <c r="B161" s="4">
        <v>13698</v>
      </c>
      <c r="C161" s="4">
        <v>13731</v>
      </c>
      <c r="D161" s="4">
        <v>14657</v>
      </c>
      <c r="E161" s="4">
        <v>14033</v>
      </c>
      <c r="F161" s="4">
        <v>14544</v>
      </c>
      <c r="G161" s="4">
        <v>14752</v>
      </c>
      <c r="H161" s="4">
        <v>13792</v>
      </c>
      <c r="I161" s="4">
        <v>13989</v>
      </c>
      <c r="J161" s="6" t="s">
        <v>15</v>
      </c>
      <c r="K161" s="6" t="s">
        <v>21</v>
      </c>
    </row>
    <row r="162" spans="1:11">
      <c r="A162" s="4" t="s">
        <v>258</v>
      </c>
      <c r="B162" s="4">
        <v>58131</v>
      </c>
      <c r="C162" s="4">
        <v>62405</v>
      </c>
      <c r="D162" s="4">
        <v>62163</v>
      </c>
      <c r="E162" s="4">
        <v>60806</v>
      </c>
      <c r="F162" s="4">
        <v>63046</v>
      </c>
      <c r="G162" s="4">
        <v>59323</v>
      </c>
      <c r="H162" s="4">
        <v>59689</v>
      </c>
      <c r="I162" s="4">
        <v>63086</v>
      </c>
      <c r="J162" s="6" t="s">
        <v>13</v>
      </c>
      <c r="K162" s="6" t="s">
        <v>21</v>
      </c>
    </row>
    <row r="163" spans="1:11">
      <c r="A163" s="4" t="s">
        <v>90</v>
      </c>
      <c r="B163" s="4">
        <v>55329</v>
      </c>
      <c r="C163" s="4">
        <v>9312</v>
      </c>
      <c r="D163" s="4">
        <v>71150</v>
      </c>
      <c r="E163" s="4">
        <v>7223</v>
      </c>
      <c r="F163" s="4">
        <v>8674</v>
      </c>
      <c r="G163" s="4">
        <v>22162</v>
      </c>
      <c r="H163" s="4">
        <v>20384</v>
      </c>
      <c r="I163" s="4">
        <v>12682</v>
      </c>
      <c r="J163" s="6" t="s">
        <v>14</v>
      </c>
      <c r="K163" s="6" t="s">
        <v>19</v>
      </c>
    </row>
    <row r="164" spans="1:11">
      <c r="A164" s="4" t="s">
        <v>236</v>
      </c>
      <c r="B164" s="4">
        <v>8186</v>
      </c>
      <c r="C164" s="4">
        <v>62417</v>
      </c>
      <c r="D164" s="4">
        <v>8456</v>
      </c>
      <c r="E164" s="4">
        <v>19008</v>
      </c>
      <c r="F164" s="4">
        <v>52922</v>
      </c>
      <c r="G164" s="4">
        <v>26160</v>
      </c>
      <c r="H164" s="4">
        <v>10152</v>
      </c>
      <c r="I164" s="4">
        <v>6086</v>
      </c>
      <c r="J164" s="6" t="s">
        <v>14</v>
      </c>
      <c r="K164" s="6" t="s">
        <v>19</v>
      </c>
    </row>
    <row r="165" spans="1:11">
      <c r="A165" s="4" t="s">
        <v>281</v>
      </c>
      <c r="B165" s="4">
        <v>18149</v>
      </c>
      <c r="C165" s="4">
        <v>15685</v>
      </c>
      <c r="D165" s="4">
        <v>17136</v>
      </c>
      <c r="E165" s="4">
        <v>13029</v>
      </c>
      <c r="F165" s="4">
        <v>16971</v>
      </c>
      <c r="G165" s="4">
        <v>12361</v>
      </c>
      <c r="H165" s="4">
        <v>20539</v>
      </c>
      <c r="I165" s="4">
        <v>22262</v>
      </c>
      <c r="J165" s="6" t="s">
        <v>14</v>
      </c>
      <c r="K165" s="6" t="s">
        <v>20</v>
      </c>
    </row>
    <row r="166" spans="1:11">
      <c r="A166" s="4" t="s">
        <v>278</v>
      </c>
      <c r="B166" s="4">
        <v>31474</v>
      </c>
      <c r="C166" s="4">
        <v>25669</v>
      </c>
      <c r="D166" s="4">
        <v>10415</v>
      </c>
      <c r="E166" s="4">
        <v>14885</v>
      </c>
      <c r="F166" s="4">
        <v>5200</v>
      </c>
      <c r="G166" s="4">
        <v>32662</v>
      </c>
      <c r="H166" s="4">
        <v>27163</v>
      </c>
      <c r="I166" s="4">
        <v>26933</v>
      </c>
      <c r="J166" s="6" t="s">
        <v>14</v>
      </c>
      <c r="K166" s="6" t="s">
        <v>19</v>
      </c>
    </row>
    <row r="167" spans="1:11">
      <c r="A167" s="4" t="s">
        <v>168</v>
      </c>
      <c r="B167" s="4">
        <v>155971</v>
      </c>
      <c r="C167" s="4">
        <v>158422</v>
      </c>
      <c r="D167" s="4">
        <v>148336</v>
      </c>
      <c r="E167" s="4">
        <v>152679</v>
      </c>
      <c r="F167" s="4">
        <v>154454</v>
      </c>
      <c r="G167" s="4">
        <v>155550</v>
      </c>
      <c r="H167" s="4">
        <v>156183</v>
      </c>
      <c r="I167" s="4">
        <v>161423</v>
      </c>
      <c r="J167" s="6" t="s">
        <v>13</v>
      </c>
      <c r="K167" s="6" t="s">
        <v>21</v>
      </c>
    </row>
    <row r="168" spans="1:11">
      <c r="A168" s="4" t="s">
        <v>246</v>
      </c>
      <c r="B168" s="4">
        <v>21276</v>
      </c>
      <c r="C168" s="4">
        <v>21150</v>
      </c>
      <c r="D168" s="4">
        <v>17991</v>
      </c>
      <c r="E168" s="4">
        <v>21138</v>
      </c>
      <c r="F168" s="4">
        <v>18864</v>
      </c>
      <c r="G168" s="4">
        <v>24338</v>
      </c>
      <c r="H168" s="4">
        <v>23719</v>
      </c>
      <c r="I168" s="4">
        <v>19368</v>
      </c>
      <c r="J168" s="6" t="s">
        <v>14</v>
      </c>
      <c r="K168" s="6" t="s">
        <v>21</v>
      </c>
    </row>
    <row r="169" spans="1:11">
      <c r="A169" s="4" t="s">
        <v>86</v>
      </c>
      <c r="B169" s="4">
        <v>22185</v>
      </c>
      <c r="C169" s="4">
        <v>18357</v>
      </c>
      <c r="D169" s="4">
        <v>22920</v>
      </c>
      <c r="E169" s="4">
        <v>16112</v>
      </c>
      <c r="F169" s="4">
        <v>21054</v>
      </c>
      <c r="G169" s="4">
        <v>23906</v>
      </c>
      <c r="H169" s="4">
        <v>23353</v>
      </c>
      <c r="I169" s="4">
        <v>20140</v>
      </c>
      <c r="J169" s="6" t="s">
        <v>14</v>
      </c>
      <c r="K169" s="6" t="s">
        <v>20</v>
      </c>
    </row>
    <row r="170" spans="1:11">
      <c r="A170" s="4" t="s">
        <v>131</v>
      </c>
      <c r="B170" s="4">
        <v>58568</v>
      </c>
      <c r="C170" s="4">
        <v>58913</v>
      </c>
      <c r="D170" s="4">
        <v>57181</v>
      </c>
      <c r="E170" s="4">
        <v>55698</v>
      </c>
      <c r="F170" s="4">
        <v>56956</v>
      </c>
      <c r="G170" s="4">
        <v>55651</v>
      </c>
      <c r="H170" s="4">
        <v>56927</v>
      </c>
      <c r="I170" s="4">
        <v>54273</v>
      </c>
      <c r="J170" s="6" t="s">
        <v>13</v>
      </c>
      <c r="K170" s="6" t="s">
        <v>21</v>
      </c>
    </row>
    <row r="171" spans="1:11">
      <c r="A171" s="4" t="s">
        <v>245</v>
      </c>
      <c r="B171" s="4">
        <v>18302</v>
      </c>
      <c r="C171" s="4">
        <v>18965</v>
      </c>
      <c r="D171" s="4">
        <v>18989</v>
      </c>
      <c r="E171" s="4">
        <v>18305</v>
      </c>
      <c r="F171" s="4">
        <v>17789</v>
      </c>
      <c r="G171" s="4">
        <v>18735</v>
      </c>
      <c r="H171" s="4">
        <v>18232</v>
      </c>
      <c r="I171" s="4">
        <v>18076</v>
      </c>
      <c r="J171" s="6" t="s">
        <v>14</v>
      </c>
      <c r="K171" s="6" t="s">
        <v>21</v>
      </c>
    </row>
    <row r="172" spans="1:11">
      <c r="A172" s="4" t="s">
        <v>52</v>
      </c>
      <c r="B172" s="4">
        <v>21036</v>
      </c>
      <c r="C172" s="4">
        <v>22928</v>
      </c>
      <c r="D172" s="4">
        <v>22759</v>
      </c>
      <c r="E172" s="4">
        <v>22855</v>
      </c>
      <c r="F172" s="4">
        <v>21400</v>
      </c>
      <c r="G172" s="4">
        <v>22489</v>
      </c>
      <c r="H172" s="4">
        <v>22647</v>
      </c>
      <c r="I172" s="4">
        <v>21045</v>
      </c>
      <c r="J172" s="6" t="s">
        <v>14</v>
      </c>
      <c r="K172" s="6" t="s">
        <v>21</v>
      </c>
    </row>
    <row r="173" spans="1:11">
      <c r="A173" s="4" t="s">
        <v>183</v>
      </c>
      <c r="B173" s="4">
        <v>156558</v>
      </c>
      <c r="C173" s="4">
        <v>94696</v>
      </c>
      <c r="D173" s="4">
        <v>69917</v>
      </c>
      <c r="E173" s="4">
        <v>163057</v>
      </c>
      <c r="F173" s="4">
        <v>40139</v>
      </c>
      <c r="G173" s="4">
        <v>186988</v>
      </c>
      <c r="H173" s="4">
        <v>22265</v>
      </c>
      <c r="I173" s="4">
        <v>24895</v>
      </c>
      <c r="J173" s="6" t="s">
        <v>13</v>
      </c>
      <c r="K173" s="6" t="s">
        <v>19</v>
      </c>
    </row>
    <row r="174" spans="1:11">
      <c r="A174" s="4" t="s">
        <v>230</v>
      </c>
      <c r="B174" s="4">
        <v>64430</v>
      </c>
      <c r="C174" s="4">
        <v>60839</v>
      </c>
      <c r="D174" s="4">
        <v>62368</v>
      </c>
      <c r="E174" s="4">
        <v>65076</v>
      </c>
      <c r="F174" s="4">
        <v>63043</v>
      </c>
      <c r="G174" s="4">
        <v>40209</v>
      </c>
      <c r="H174" s="4">
        <v>36971</v>
      </c>
      <c r="I174" s="4">
        <v>57649</v>
      </c>
      <c r="J174" s="6" t="s">
        <v>13</v>
      </c>
      <c r="K174" s="6" t="s">
        <v>20</v>
      </c>
    </row>
    <row r="175" spans="1:11">
      <c r="A175" s="4" t="s">
        <v>102</v>
      </c>
      <c r="B175" s="4">
        <v>79927</v>
      </c>
      <c r="C175" s="4">
        <v>73691</v>
      </c>
      <c r="D175" s="4">
        <v>75260</v>
      </c>
      <c r="E175" s="4">
        <v>76009</v>
      </c>
      <c r="F175" s="4">
        <v>87301</v>
      </c>
      <c r="G175" s="4">
        <v>55229</v>
      </c>
      <c r="H175" s="4">
        <v>71789</v>
      </c>
      <c r="I175" s="4">
        <v>87019</v>
      </c>
      <c r="J175" s="6" t="s">
        <v>13</v>
      </c>
      <c r="K175" s="6" t="s">
        <v>20</v>
      </c>
    </row>
    <row r="176" spans="1:11">
      <c r="A176" s="4" t="s">
        <v>49</v>
      </c>
      <c r="B176" s="4">
        <v>15460</v>
      </c>
      <c r="C176" s="4">
        <v>24131</v>
      </c>
      <c r="D176" s="4">
        <v>19382</v>
      </c>
      <c r="E176" s="4">
        <v>19853</v>
      </c>
      <c r="F176" s="4">
        <v>20860</v>
      </c>
      <c r="G176" s="4">
        <v>18880</v>
      </c>
      <c r="H176" s="4">
        <v>24696</v>
      </c>
      <c r="I176" s="4">
        <v>23141</v>
      </c>
      <c r="J176" s="6" t="s">
        <v>14</v>
      </c>
      <c r="K176" s="6" t="s">
        <v>20</v>
      </c>
    </row>
    <row r="177" spans="1:11">
      <c r="A177" s="4" t="s">
        <v>77</v>
      </c>
      <c r="B177" s="4">
        <v>27527</v>
      </c>
      <c r="C177" s="4">
        <v>27417</v>
      </c>
      <c r="D177" s="4">
        <v>27674</v>
      </c>
      <c r="E177" s="4">
        <v>27681</v>
      </c>
      <c r="F177" s="4">
        <v>27440</v>
      </c>
      <c r="G177" s="4">
        <v>27293</v>
      </c>
      <c r="H177" s="4">
        <v>27005</v>
      </c>
      <c r="I177" s="4">
        <v>28142</v>
      </c>
      <c r="J177" s="6" t="s">
        <v>14</v>
      </c>
      <c r="K177" s="6" t="s">
        <v>21</v>
      </c>
    </row>
    <row r="178" spans="1:11">
      <c r="A178" s="4" t="s">
        <v>170</v>
      </c>
      <c r="B178" s="4">
        <v>21872</v>
      </c>
      <c r="C178" s="4">
        <v>22877</v>
      </c>
      <c r="D178" s="4">
        <v>21855</v>
      </c>
      <c r="E178" s="4">
        <v>22901</v>
      </c>
      <c r="F178" s="4">
        <v>21996</v>
      </c>
      <c r="G178" s="4">
        <v>21622</v>
      </c>
      <c r="H178" s="4">
        <v>21359</v>
      </c>
      <c r="I178" s="4">
        <v>21455</v>
      </c>
      <c r="J178" s="6" t="s">
        <v>14</v>
      </c>
      <c r="K178" s="6" t="s">
        <v>21</v>
      </c>
    </row>
    <row r="179" spans="1:11">
      <c r="A179" s="4" t="s">
        <v>210</v>
      </c>
      <c r="B179" s="4">
        <v>5200</v>
      </c>
      <c r="C179" s="4">
        <v>8172</v>
      </c>
      <c r="D179" s="4">
        <v>5200</v>
      </c>
      <c r="E179" s="4">
        <v>5200</v>
      </c>
      <c r="F179" s="4">
        <v>9258</v>
      </c>
      <c r="G179" s="4">
        <v>27974</v>
      </c>
      <c r="H179" s="4">
        <v>25113</v>
      </c>
      <c r="I179" s="4">
        <v>19491</v>
      </c>
      <c r="J179" s="6" t="s">
        <v>15</v>
      </c>
      <c r="K179" s="6" t="s">
        <v>19</v>
      </c>
    </row>
    <row r="180" spans="1:11">
      <c r="A180" s="4" t="s">
        <v>159</v>
      </c>
      <c r="B180" s="4">
        <v>82465</v>
      </c>
      <c r="C180" s="4">
        <v>34030</v>
      </c>
      <c r="D180" s="4">
        <v>54977</v>
      </c>
      <c r="E180" s="4">
        <v>78355</v>
      </c>
      <c r="F180" s="4">
        <v>287366</v>
      </c>
      <c r="G180" s="4">
        <v>42812</v>
      </c>
      <c r="H180" s="4">
        <v>29166</v>
      </c>
      <c r="I180" s="4">
        <v>76812</v>
      </c>
      <c r="J180" s="6" t="s">
        <v>13</v>
      </c>
      <c r="K180" s="6" t="s">
        <v>19</v>
      </c>
    </row>
    <row r="181" spans="1:11">
      <c r="A181" s="4" t="s">
        <v>213</v>
      </c>
      <c r="B181" s="4">
        <v>33854</v>
      </c>
      <c r="C181" s="4">
        <v>38531</v>
      </c>
      <c r="D181" s="4">
        <v>40667</v>
      </c>
      <c r="E181" s="4">
        <v>43535</v>
      </c>
      <c r="F181" s="4">
        <v>42939</v>
      </c>
      <c r="G181" s="4">
        <v>31776</v>
      </c>
      <c r="H181" s="4">
        <v>37932</v>
      </c>
      <c r="I181" s="4">
        <v>51362</v>
      </c>
      <c r="J181" s="6" t="s">
        <v>13</v>
      </c>
      <c r="K181" s="6" t="s">
        <v>20</v>
      </c>
    </row>
    <row r="182" spans="1:11">
      <c r="A182" s="4" t="s">
        <v>185</v>
      </c>
      <c r="B182" s="4">
        <v>30381</v>
      </c>
      <c r="C182" s="4">
        <v>31694</v>
      </c>
      <c r="D182" s="4">
        <v>37662</v>
      </c>
      <c r="E182" s="4">
        <v>41779</v>
      </c>
      <c r="F182" s="4">
        <v>43515</v>
      </c>
      <c r="G182" s="4">
        <v>25689</v>
      </c>
      <c r="H182" s="4">
        <v>44091</v>
      </c>
      <c r="I182" s="4">
        <v>29977</v>
      </c>
      <c r="J182" s="6" t="s">
        <v>13</v>
      </c>
      <c r="K182" s="6" t="s">
        <v>20</v>
      </c>
    </row>
    <row r="183" spans="1:11">
      <c r="A183" s="4" t="s">
        <v>268</v>
      </c>
      <c r="B183" s="4">
        <v>21546</v>
      </c>
      <c r="C183" s="4">
        <v>34564</v>
      </c>
      <c r="D183" s="4">
        <v>21562</v>
      </c>
      <c r="E183" s="4">
        <v>23782</v>
      </c>
      <c r="F183" s="4">
        <v>24383</v>
      </c>
      <c r="G183" s="4">
        <v>32985</v>
      </c>
      <c r="H183" s="4">
        <v>26231</v>
      </c>
      <c r="I183" s="4">
        <v>35001</v>
      </c>
      <c r="J183" s="6" t="s">
        <v>14</v>
      </c>
      <c r="K183" s="6" t="s">
        <v>20</v>
      </c>
    </row>
    <row r="184" spans="1:11">
      <c r="A184" s="4" t="s">
        <v>200</v>
      </c>
      <c r="B184" s="4">
        <v>7291</v>
      </c>
      <c r="C184" s="4">
        <v>21358</v>
      </c>
      <c r="D184" s="4">
        <v>51052</v>
      </c>
      <c r="E184" s="4">
        <v>20530</v>
      </c>
      <c r="F184" s="4">
        <v>45495</v>
      </c>
      <c r="G184" s="4">
        <v>9518</v>
      </c>
      <c r="H184" s="4">
        <v>37989</v>
      </c>
      <c r="I184" s="4">
        <v>9342</v>
      </c>
      <c r="J184" s="6" t="s">
        <v>14</v>
      </c>
      <c r="K184" s="6" t="s">
        <v>19</v>
      </c>
    </row>
    <row r="185" spans="1:11">
      <c r="A185" s="4" t="s">
        <v>56</v>
      </c>
      <c r="B185" s="4">
        <v>16020</v>
      </c>
      <c r="C185" s="4">
        <v>15537</v>
      </c>
      <c r="D185" s="4">
        <v>16027</v>
      </c>
      <c r="E185" s="4">
        <v>15732</v>
      </c>
      <c r="F185" s="4">
        <v>15384</v>
      </c>
      <c r="G185" s="4">
        <v>16351</v>
      </c>
      <c r="H185" s="4">
        <v>16574</v>
      </c>
      <c r="I185" s="4">
        <v>15662</v>
      </c>
      <c r="J185" s="6" t="s">
        <v>14</v>
      </c>
      <c r="K185" s="6" t="s">
        <v>21</v>
      </c>
    </row>
    <row r="186" spans="1:11">
      <c r="A186" s="4" t="s">
        <v>119</v>
      </c>
      <c r="B186" s="4">
        <v>41902</v>
      </c>
      <c r="C186" s="4">
        <v>42574</v>
      </c>
      <c r="D186" s="4">
        <v>42196</v>
      </c>
      <c r="E186" s="4">
        <v>41262</v>
      </c>
      <c r="F186" s="4">
        <v>42284</v>
      </c>
      <c r="G186" s="4">
        <v>41081</v>
      </c>
      <c r="H186" s="4">
        <v>41525</v>
      </c>
      <c r="I186" s="4">
        <v>40428</v>
      </c>
      <c r="J186" s="6" t="s">
        <v>13</v>
      </c>
      <c r="K186" s="6" t="s">
        <v>21</v>
      </c>
    </row>
    <row r="187" spans="1:11">
      <c r="A187" s="4" t="s">
        <v>157</v>
      </c>
      <c r="B187" s="4">
        <v>15565</v>
      </c>
      <c r="C187" s="4">
        <v>16251</v>
      </c>
      <c r="D187" s="4">
        <v>16449</v>
      </c>
      <c r="E187" s="4">
        <v>15780</v>
      </c>
      <c r="F187" s="4">
        <v>15302</v>
      </c>
      <c r="G187" s="4">
        <v>16391</v>
      </c>
      <c r="H187" s="4">
        <v>15832</v>
      </c>
      <c r="I187" s="4">
        <v>15791</v>
      </c>
      <c r="J187" s="6" t="s">
        <v>14</v>
      </c>
      <c r="K187" s="6" t="s">
        <v>21</v>
      </c>
    </row>
    <row r="188" spans="1:11">
      <c r="A188" s="4" t="s">
        <v>74</v>
      </c>
      <c r="B188" s="4">
        <v>40292</v>
      </c>
      <c r="C188" s="4">
        <v>38356</v>
      </c>
      <c r="D188" s="4">
        <v>5674</v>
      </c>
      <c r="E188" s="4">
        <v>15916</v>
      </c>
      <c r="F188" s="4">
        <v>16381</v>
      </c>
      <c r="G188" s="4">
        <v>45508</v>
      </c>
      <c r="H188" s="4">
        <v>41033</v>
      </c>
      <c r="I188" s="4">
        <v>6328</v>
      </c>
      <c r="J188" s="6" t="s">
        <v>14</v>
      </c>
      <c r="K188" s="6" t="s">
        <v>19</v>
      </c>
    </row>
    <row r="189" spans="1:11">
      <c r="A189" s="4" t="s">
        <v>48</v>
      </c>
      <c r="B189" s="4">
        <v>72565</v>
      </c>
      <c r="C189" s="4">
        <v>72930</v>
      </c>
      <c r="D189" s="4">
        <v>76445</v>
      </c>
      <c r="E189" s="4">
        <v>69938</v>
      </c>
      <c r="F189" s="4">
        <v>70604</v>
      </c>
      <c r="G189" s="4">
        <v>72213</v>
      </c>
      <c r="H189" s="4">
        <v>76142</v>
      </c>
      <c r="I189" s="4">
        <v>76029</v>
      </c>
      <c r="J189" s="6" t="s">
        <v>13</v>
      </c>
      <c r="K189" s="6" t="s">
        <v>21</v>
      </c>
    </row>
    <row r="190" spans="1:11">
      <c r="A190" s="4" t="s">
        <v>232</v>
      </c>
      <c r="B190" s="4">
        <v>18372</v>
      </c>
      <c r="C190" s="4">
        <v>17618</v>
      </c>
      <c r="D190" s="4">
        <v>18604</v>
      </c>
      <c r="E190" s="4">
        <v>18797</v>
      </c>
      <c r="F190" s="4">
        <v>17639</v>
      </c>
      <c r="G190" s="4">
        <v>18214</v>
      </c>
      <c r="H190" s="4">
        <v>17576</v>
      </c>
      <c r="I190" s="4">
        <v>18501</v>
      </c>
      <c r="J190" s="6" t="s">
        <v>14</v>
      </c>
      <c r="K190" s="6" t="s">
        <v>21</v>
      </c>
    </row>
    <row r="191" spans="1:11">
      <c r="A191" s="4" t="s">
        <v>188</v>
      </c>
      <c r="B191" s="4">
        <v>100421</v>
      </c>
      <c r="C191" s="4">
        <v>93167</v>
      </c>
      <c r="D191" s="4">
        <v>96693</v>
      </c>
      <c r="E191" s="4">
        <v>96936</v>
      </c>
      <c r="F191" s="4">
        <v>99300</v>
      </c>
      <c r="G191" s="4">
        <v>100825</v>
      </c>
      <c r="H191" s="4">
        <v>101800</v>
      </c>
      <c r="I191" s="4">
        <v>98347</v>
      </c>
      <c r="J191" s="6" t="s">
        <v>13</v>
      </c>
      <c r="K191" s="6" t="s">
        <v>21</v>
      </c>
    </row>
    <row r="192" spans="1:11">
      <c r="A192" s="4" t="s">
        <v>118</v>
      </c>
      <c r="B192" s="4">
        <v>101267</v>
      </c>
      <c r="C192" s="4">
        <v>98386</v>
      </c>
      <c r="D192" s="4">
        <v>100769</v>
      </c>
      <c r="E192" s="4">
        <v>104372</v>
      </c>
      <c r="F192" s="4">
        <v>97567</v>
      </c>
      <c r="G192" s="4">
        <v>97247</v>
      </c>
      <c r="H192" s="4">
        <v>104727</v>
      </c>
      <c r="I192" s="4">
        <v>97488</v>
      </c>
      <c r="J192" s="6" t="s">
        <v>13</v>
      </c>
      <c r="K192" s="6" t="s">
        <v>21</v>
      </c>
    </row>
    <row r="193" spans="1:11">
      <c r="A193" s="4" t="s">
        <v>140</v>
      </c>
      <c r="B193" s="4">
        <v>122762</v>
      </c>
      <c r="C193" s="4">
        <v>18477</v>
      </c>
      <c r="D193" s="4">
        <v>152066</v>
      </c>
      <c r="E193" s="4">
        <v>44409</v>
      </c>
      <c r="F193" s="4">
        <v>22906</v>
      </c>
      <c r="G193" s="4">
        <v>49386</v>
      </c>
      <c r="H193" s="4">
        <v>46827</v>
      </c>
      <c r="I193" s="4">
        <v>33496</v>
      </c>
      <c r="J193" s="6" t="s">
        <v>13</v>
      </c>
      <c r="K193" s="6" t="s">
        <v>19</v>
      </c>
    </row>
    <row r="194" spans="1:11">
      <c r="A194" s="4" t="s">
        <v>265</v>
      </c>
      <c r="B194" s="4">
        <v>14109</v>
      </c>
      <c r="C194" s="4">
        <v>11566</v>
      </c>
      <c r="D194" s="4">
        <v>18295</v>
      </c>
      <c r="E194" s="4">
        <v>12150</v>
      </c>
      <c r="F194" s="4">
        <v>19537</v>
      </c>
      <c r="G194" s="4">
        <v>13401</v>
      </c>
      <c r="H194" s="4">
        <v>17628</v>
      </c>
      <c r="I194" s="4">
        <v>16166</v>
      </c>
      <c r="J194" s="6" t="s">
        <v>15</v>
      </c>
      <c r="K194" s="6" t="s">
        <v>20</v>
      </c>
    </row>
    <row r="195" spans="1:11">
      <c r="A195" s="4" t="s">
        <v>260</v>
      </c>
      <c r="B195" s="4">
        <v>32724</v>
      </c>
      <c r="C195" s="4">
        <v>54658</v>
      </c>
      <c r="D195" s="4">
        <v>7193</v>
      </c>
      <c r="E195" s="4">
        <v>56524</v>
      </c>
      <c r="F195" s="4">
        <v>14751</v>
      </c>
      <c r="G195" s="4">
        <v>11871</v>
      </c>
      <c r="H195" s="4">
        <v>55242</v>
      </c>
      <c r="I195" s="4">
        <v>77894</v>
      </c>
      <c r="J195" s="6" t="s">
        <v>13</v>
      </c>
      <c r="K195" s="6" t="s">
        <v>19</v>
      </c>
    </row>
    <row r="196" spans="1:11">
      <c r="A196" s="4" t="s">
        <v>247</v>
      </c>
      <c r="B196" s="4">
        <v>27150</v>
      </c>
      <c r="C196" s="4">
        <v>25177</v>
      </c>
      <c r="D196" s="4">
        <v>26230</v>
      </c>
      <c r="E196" s="4">
        <v>26055</v>
      </c>
      <c r="F196" s="4">
        <v>26045</v>
      </c>
      <c r="G196" s="4">
        <v>25946</v>
      </c>
      <c r="H196" s="4">
        <v>27014</v>
      </c>
      <c r="I196" s="4">
        <v>25249</v>
      </c>
      <c r="J196" s="6" t="s">
        <v>14</v>
      </c>
      <c r="K196" s="6" t="s">
        <v>21</v>
      </c>
    </row>
    <row r="197" spans="1:11">
      <c r="A197" s="4" t="s">
        <v>142</v>
      </c>
      <c r="B197" s="4">
        <v>30798</v>
      </c>
      <c r="C197" s="4">
        <v>12356</v>
      </c>
      <c r="D197" s="4">
        <v>11643</v>
      </c>
      <c r="E197" s="4">
        <v>32090</v>
      </c>
      <c r="F197" s="4">
        <v>8347</v>
      </c>
      <c r="G197" s="4">
        <v>14045</v>
      </c>
      <c r="H197" s="4">
        <v>11187</v>
      </c>
      <c r="I197" s="4">
        <v>29167</v>
      </c>
      <c r="J197" s="6" t="s">
        <v>14</v>
      </c>
      <c r="K197" s="6" t="s">
        <v>19</v>
      </c>
    </row>
    <row r="198" spans="1:11">
      <c r="A198" s="4" t="s">
        <v>233</v>
      </c>
      <c r="B198" s="4">
        <v>21920</v>
      </c>
      <c r="C198" s="4">
        <v>25917</v>
      </c>
      <c r="D198" s="4">
        <v>5200</v>
      </c>
      <c r="E198" s="4">
        <v>25267</v>
      </c>
      <c r="F198" s="4">
        <v>5200</v>
      </c>
      <c r="G198" s="4">
        <v>10119</v>
      </c>
      <c r="H198" s="4">
        <v>7449</v>
      </c>
      <c r="I198" s="4">
        <v>5200</v>
      </c>
      <c r="J198" s="6" t="s">
        <v>15</v>
      </c>
      <c r="K198" s="6" t="s">
        <v>19</v>
      </c>
    </row>
    <row r="199" spans="1:11">
      <c r="A199" s="4" t="s">
        <v>150</v>
      </c>
      <c r="B199" s="4">
        <v>53117</v>
      </c>
      <c r="C199" s="4">
        <v>56074</v>
      </c>
      <c r="D199" s="4">
        <v>54399</v>
      </c>
      <c r="E199" s="4">
        <v>55065</v>
      </c>
      <c r="F199" s="4">
        <v>53912</v>
      </c>
      <c r="G199" s="4">
        <v>51771</v>
      </c>
      <c r="H199" s="4">
        <v>52327</v>
      </c>
      <c r="I199" s="4">
        <v>53125</v>
      </c>
      <c r="J199" s="6" t="s">
        <v>13</v>
      </c>
      <c r="K199" s="6" t="s">
        <v>21</v>
      </c>
    </row>
    <row r="200" spans="1:11">
      <c r="A200" s="4" t="s">
        <v>85</v>
      </c>
      <c r="B200" s="4">
        <v>35045</v>
      </c>
      <c r="C200" s="4">
        <v>33667</v>
      </c>
      <c r="D200" s="4">
        <v>32962</v>
      </c>
      <c r="E200" s="4">
        <v>33053</v>
      </c>
      <c r="F200" s="4">
        <v>34952</v>
      </c>
      <c r="G200" s="4">
        <v>35199</v>
      </c>
      <c r="H200" s="4">
        <v>32662</v>
      </c>
      <c r="I200" s="4">
        <v>34841</v>
      </c>
      <c r="J200" s="6" t="s">
        <v>13</v>
      </c>
      <c r="K200" s="6" t="s">
        <v>21</v>
      </c>
    </row>
    <row r="201" spans="1:11">
      <c r="A201" s="4" t="s">
        <v>79</v>
      </c>
      <c r="B201" s="4">
        <v>50935</v>
      </c>
      <c r="C201" s="4">
        <v>50335</v>
      </c>
      <c r="D201" s="4">
        <v>49527</v>
      </c>
      <c r="E201" s="4">
        <v>47586</v>
      </c>
      <c r="F201" s="4">
        <v>50646</v>
      </c>
      <c r="G201" s="4">
        <v>51429</v>
      </c>
      <c r="H201" s="4">
        <v>47727</v>
      </c>
      <c r="I201" s="4">
        <v>48292</v>
      </c>
      <c r="J201" s="6" t="s">
        <v>13</v>
      </c>
      <c r="K201" s="6" t="s">
        <v>21</v>
      </c>
    </row>
    <row r="202" spans="1:11">
      <c r="A202" s="4" t="s">
        <v>224</v>
      </c>
      <c r="B202" s="4">
        <v>14340</v>
      </c>
      <c r="C202" s="4">
        <v>14493</v>
      </c>
      <c r="D202" s="4">
        <v>14832</v>
      </c>
      <c r="E202" s="4">
        <v>14587</v>
      </c>
      <c r="F202" s="4">
        <v>15202</v>
      </c>
      <c r="G202" s="4">
        <v>15435</v>
      </c>
      <c r="H202" s="4">
        <v>15014</v>
      </c>
      <c r="I202" s="4">
        <v>14549</v>
      </c>
      <c r="J202" s="6" t="s">
        <v>15</v>
      </c>
      <c r="K202" s="6" t="s">
        <v>21</v>
      </c>
    </row>
    <row r="203" spans="1:11">
      <c r="A203" s="4" t="s">
        <v>231</v>
      </c>
      <c r="B203" s="4">
        <v>33790</v>
      </c>
      <c r="C203" s="4">
        <v>36607</v>
      </c>
      <c r="D203" s="4">
        <v>36738</v>
      </c>
      <c r="E203" s="4">
        <v>36416</v>
      </c>
      <c r="F203" s="4">
        <v>35002</v>
      </c>
      <c r="G203" s="4">
        <v>34296</v>
      </c>
      <c r="H203" s="4">
        <v>35160</v>
      </c>
      <c r="I203" s="4">
        <v>35492</v>
      </c>
      <c r="J203" s="6" t="s">
        <v>13</v>
      </c>
      <c r="K203" s="6" t="s">
        <v>21</v>
      </c>
    </row>
    <row r="204" spans="1:11">
      <c r="A204" s="4" t="s">
        <v>143</v>
      </c>
      <c r="B204" s="4">
        <v>32537</v>
      </c>
      <c r="C204" s="4">
        <v>12315</v>
      </c>
      <c r="D204" s="4">
        <v>5200</v>
      </c>
      <c r="E204" s="4">
        <v>26331</v>
      </c>
      <c r="F204" s="4">
        <v>9554</v>
      </c>
      <c r="G204" s="4">
        <v>11189</v>
      </c>
      <c r="H204" s="4">
        <v>12721</v>
      </c>
      <c r="I204" s="4">
        <v>6757</v>
      </c>
      <c r="J204" s="6" t="s">
        <v>15</v>
      </c>
      <c r="K204" s="6" t="s">
        <v>19</v>
      </c>
    </row>
    <row r="205" spans="1:11">
      <c r="A205" s="4" t="s">
        <v>155</v>
      </c>
      <c r="B205" s="4">
        <v>15253</v>
      </c>
      <c r="C205" s="4">
        <v>14786</v>
      </c>
      <c r="D205" s="4">
        <v>15472</v>
      </c>
      <c r="E205" s="4">
        <v>15899</v>
      </c>
      <c r="F205" s="4">
        <v>15693</v>
      </c>
      <c r="G205" s="4">
        <v>15852</v>
      </c>
      <c r="H205" s="4">
        <v>15390</v>
      </c>
      <c r="I205" s="4">
        <v>15022</v>
      </c>
      <c r="J205" s="6" t="s">
        <v>15</v>
      </c>
      <c r="K205" s="6" t="s">
        <v>21</v>
      </c>
    </row>
    <row r="206" spans="1:11">
      <c r="A206" s="4" t="s">
        <v>241</v>
      </c>
      <c r="B206" s="4">
        <v>41514</v>
      </c>
      <c r="C206" s="4">
        <v>43149</v>
      </c>
      <c r="D206" s="4">
        <v>41556</v>
      </c>
      <c r="E206" s="4">
        <v>42319</v>
      </c>
      <c r="F206" s="4">
        <v>44693</v>
      </c>
      <c r="G206" s="4">
        <v>41672</v>
      </c>
      <c r="H206" s="4">
        <v>44947</v>
      </c>
      <c r="I206" s="4">
        <v>42033</v>
      </c>
      <c r="J206" s="6" t="s">
        <v>13</v>
      </c>
      <c r="K206" s="6" t="s">
        <v>21</v>
      </c>
    </row>
    <row r="207" spans="1:11">
      <c r="A207" s="4" t="s">
        <v>259</v>
      </c>
      <c r="B207" s="4">
        <v>5200</v>
      </c>
      <c r="C207" s="4">
        <v>9982</v>
      </c>
      <c r="D207" s="4">
        <v>14873</v>
      </c>
      <c r="E207" s="4">
        <v>12830</v>
      </c>
      <c r="F207" s="4">
        <v>34662</v>
      </c>
      <c r="G207" s="4">
        <v>5200</v>
      </c>
      <c r="H207" s="4">
        <v>7045</v>
      </c>
      <c r="I207" s="4">
        <v>10808</v>
      </c>
      <c r="J207" s="6" t="s">
        <v>15</v>
      </c>
      <c r="K207" s="6" t="s">
        <v>19</v>
      </c>
    </row>
    <row r="208" spans="1:11">
      <c r="A208" s="4" t="s">
        <v>137</v>
      </c>
      <c r="B208" s="4">
        <v>57939</v>
      </c>
      <c r="C208" s="4">
        <v>55147</v>
      </c>
      <c r="D208" s="4">
        <v>58322</v>
      </c>
      <c r="E208" s="4">
        <v>54413</v>
      </c>
      <c r="F208" s="4">
        <v>54520</v>
      </c>
      <c r="G208" s="4">
        <v>57711</v>
      </c>
      <c r="H208" s="4">
        <v>54112</v>
      </c>
      <c r="I208" s="4">
        <v>56350</v>
      </c>
      <c r="J208" s="6" t="s">
        <v>13</v>
      </c>
      <c r="K208" s="6" t="s">
        <v>21</v>
      </c>
    </row>
    <row r="209" spans="1:11">
      <c r="A209" s="4" t="s">
        <v>279</v>
      </c>
      <c r="B209" s="4">
        <v>45987</v>
      </c>
      <c r="C209" s="4">
        <v>44854</v>
      </c>
      <c r="D209" s="4">
        <v>47253</v>
      </c>
      <c r="E209" s="4">
        <v>45769</v>
      </c>
      <c r="F209" s="4">
        <v>46639</v>
      </c>
      <c r="G209" s="4">
        <v>47076</v>
      </c>
      <c r="H209" s="4">
        <v>46563</v>
      </c>
      <c r="I209" s="4">
        <v>44170</v>
      </c>
      <c r="J209" s="6" t="s">
        <v>13</v>
      </c>
      <c r="K209" s="6" t="s">
        <v>21</v>
      </c>
    </row>
    <row r="210" spans="1:11">
      <c r="A210" s="4" t="s">
        <v>83</v>
      </c>
      <c r="B210" s="4">
        <v>19494</v>
      </c>
      <c r="C210" s="4">
        <v>18486</v>
      </c>
      <c r="D210" s="4">
        <v>18783</v>
      </c>
      <c r="E210" s="4">
        <v>18277</v>
      </c>
      <c r="F210" s="4">
        <v>18858</v>
      </c>
      <c r="G210" s="4">
        <v>18214</v>
      </c>
      <c r="H210" s="4">
        <v>18978</v>
      </c>
      <c r="I210" s="4">
        <v>18419</v>
      </c>
      <c r="J210" s="6" t="s">
        <v>14</v>
      </c>
      <c r="K210" s="6" t="s">
        <v>21</v>
      </c>
    </row>
    <row r="211" spans="1:11">
      <c r="A211" s="4" t="s">
        <v>53</v>
      </c>
      <c r="B211" s="4">
        <v>135735</v>
      </c>
      <c r="C211" s="4">
        <v>134448</v>
      </c>
      <c r="D211" s="4">
        <v>136753</v>
      </c>
      <c r="E211" s="4">
        <v>139002</v>
      </c>
      <c r="F211" s="4">
        <v>138654</v>
      </c>
      <c r="G211" s="4">
        <v>144147</v>
      </c>
      <c r="H211" s="4">
        <v>139625</v>
      </c>
      <c r="I211" s="4">
        <v>139109</v>
      </c>
      <c r="J211" s="6" t="s">
        <v>13</v>
      </c>
      <c r="K211" s="6" t="s">
        <v>21</v>
      </c>
    </row>
    <row r="212" spans="1:11">
      <c r="A212" s="4" t="s">
        <v>198</v>
      </c>
      <c r="B212" s="4">
        <v>35154</v>
      </c>
      <c r="C212" s="4">
        <v>37481</v>
      </c>
      <c r="D212" s="4">
        <v>47480</v>
      </c>
      <c r="E212" s="4">
        <v>46280</v>
      </c>
      <c r="F212" s="4">
        <v>45609</v>
      </c>
      <c r="G212" s="4">
        <v>37945</v>
      </c>
      <c r="H212" s="4">
        <v>27797</v>
      </c>
      <c r="I212" s="4">
        <v>38572</v>
      </c>
      <c r="J212" s="6" t="s">
        <v>13</v>
      </c>
      <c r="K212" s="6" t="s">
        <v>20</v>
      </c>
    </row>
    <row r="213" spans="1:11">
      <c r="A213" s="4" t="s">
        <v>251</v>
      </c>
      <c r="B213" s="4">
        <v>15287</v>
      </c>
      <c r="C213" s="4">
        <v>13308</v>
      </c>
      <c r="D213" s="4">
        <v>13288</v>
      </c>
      <c r="E213" s="4">
        <v>18845</v>
      </c>
      <c r="F213" s="4">
        <v>17947</v>
      </c>
      <c r="G213" s="4">
        <v>18663</v>
      </c>
      <c r="H213" s="4">
        <v>21900</v>
      </c>
      <c r="I213" s="4">
        <v>22338</v>
      </c>
      <c r="J213" s="6" t="s">
        <v>14</v>
      </c>
      <c r="K213" s="6" t="s">
        <v>20</v>
      </c>
    </row>
    <row r="214" spans="1:11">
      <c r="A214" s="4" t="s">
        <v>105</v>
      </c>
      <c r="B214" s="4">
        <v>176050</v>
      </c>
      <c r="C214" s="4">
        <v>138488</v>
      </c>
      <c r="D214" s="4">
        <v>136545</v>
      </c>
      <c r="E214" s="4">
        <v>191451</v>
      </c>
      <c r="F214" s="4">
        <v>119349</v>
      </c>
      <c r="G214" s="4">
        <v>170119</v>
      </c>
      <c r="H214" s="4">
        <v>197236</v>
      </c>
      <c r="I214" s="4">
        <v>111720</v>
      </c>
      <c r="J214" s="6" t="s">
        <v>13</v>
      </c>
      <c r="K214" s="6" t="s">
        <v>20</v>
      </c>
    </row>
    <row r="215" spans="1:11">
      <c r="A215" s="4" t="s">
        <v>177</v>
      </c>
      <c r="B215" s="4">
        <v>22097</v>
      </c>
      <c r="C215" s="4">
        <v>18931</v>
      </c>
      <c r="D215" s="4">
        <v>29033</v>
      </c>
      <c r="E215" s="4">
        <v>19025</v>
      </c>
      <c r="F215" s="4">
        <v>27694</v>
      </c>
      <c r="G215" s="4">
        <v>28386</v>
      </c>
      <c r="H215" s="4">
        <v>29370</v>
      </c>
      <c r="I215" s="4">
        <v>23240</v>
      </c>
      <c r="J215" s="6" t="s">
        <v>14</v>
      </c>
      <c r="K215" s="6" t="s">
        <v>20</v>
      </c>
    </row>
    <row r="216" spans="1:11">
      <c r="A216" s="4" t="s">
        <v>217</v>
      </c>
      <c r="B216" s="4">
        <v>48376</v>
      </c>
      <c r="C216" s="4">
        <v>49451</v>
      </c>
      <c r="D216" s="4">
        <v>49951</v>
      </c>
      <c r="E216" s="4">
        <v>15748</v>
      </c>
      <c r="F216" s="4">
        <v>44607</v>
      </c>
      <c r="G216" s="4">
        <v>41515</v>
      </c>
      <c r="H216" s="4">
        <v>39633</v>
      </c>
      <c r="I216" s="4">
        <v>7999</v>
      </c>
      <c r="J216" s="6" t="s">
        <v>13</v>
      </c>
      <c r="K216" s="6" t="s">
        <v>19</v>
      </c>
    </row>
    <row r="217" spans="1:11">
      <c r="A217" s="4" t="s">
        <v>146</v>
      </c>
      <c r="B217" s="4">
        <v>153827</v>
      </c>
      <c r="C217" s="4">
        <v>150972</v>
      </c>
      <c r="D217" s="4">
        <v>152455</v>
      </c>
      <c r="E217" s="4">
        <v>150354</v>
      </c>
      <c r="F217" s="4">
        <v>163477</v>
      </c>
      <c r="G217" s="4">
        <v>163181</v>
      </c>
      <c r="H217" s="4">
        <v>151947</v>
      </c>
      <c r="I217" s="4">
        <v>153797</v>
      </c>
      <c r="J217" s="6" t="s">
        <v>13</v>
      </c>
      <c r="K217" s="6" t="s">
        <v>21</v>
      </c>
    </row>
    <row r="218" spans="1:11">
      <c r="A218" s="4" t="s">
        <v>174</v>
      </c>
      <c r="B218" s="4">
        <v>127579</v>
      </c>
      <c r="C218" s="4">
        <v>120944</v>
      </c>
      <c r="D218" s="4">
        <v>119378</v>
      </c>
      <c r="E218" s="4">
        <v>127405</v>
      </c>
      <c r="F218" s="4">
        <v>127259</v>
      </c>
      <c r="G218" s="4">
        <v>121632</v>
      </c>
      <c r="H218" s="4">
        <v>123114</v>
      </c>
      <c r="I218" s="4">
        <v>127525</v>
      </c>
      <c r="J218" s="6" t="s">
        <v>13</v>
      </c>
      <c r="K218" s="6" t="s">
        <v>21</v>
      </c>
    </row>
    <row r="219" spans="1:11">
      <c r="A219" s="4" t="s">
        <v>141</v>
      </c>
      <c r="B219" s="4">
        <v>117210</v>
      </c>
      <c r="C219" s="4">
        <v>115881</v>
      </c>
      <c r="D219" s="4">
        <v>111322</v>
      </c>
      <c r="E219" s="4">
        <v>112526</v>
      </c>
      <c r="F219" s="4">
        <v>113952</v>
      </c>
      <c r="G219" s="4">
        <v>115130</v>
      </c>
      <c r="H219" s="4">
        <v>109845</v>
      </c>
      <c r="I219" s="4">
        <v>117173</v>
      </c>
      <c r="J219" s="6" t="s">
        <v>13</v>
      </c>
      <c r="K219" s="6" t="s">
        <v>21</v>
      </c>
    </row>
    <row r="220" spans="1:11">
      <c r="A220" s="4" t="s">
        <v>223</v>
      </c>
      <c r="B220" s="4">
        <v>5778</v>
      </c>
      <c r="C220" s="4">
        <v>27321</v>
      </c>
      <c r="D220" s="4">
        <v>24856</v>
      </c>
      <c r="E220" s="4">
        <v>10618</v>
      </c>
      <c r="F220" s="4">
        <v>11779</v>
      </c>
      <c r="G220" s="4">
        <v>29484</v>
      </c>
      <c r="H220" s="4">
        <v>5200</v>
      </c>
      <c r="I220" s="4">
        <v>13051</v>
      </c>
      <c r="J220" s="6" t="s">
        <v>14</v>
      </c>
      <c r="K220" s="6" t="s">
        <v>19</v>
      </c>
    </row>
    <row r="221" spans="1:11">
      <c r="A221" s="4" t="s">
        <v>125</v>
      </c>
      <c r="B221" s="4">
        <v>131464</v>
      </c>
      <c r="C221" s="4">
        <v>115780</v>
      </c>
      <c r="D221" s="4">
        <v>152445</v>
      </c>
      <c r="E221" s="4">
        <v>136459</v>
      </c>
      <c r="F221" s="4">
        <v>122498</v>
      </c>
      <c r="G221" s="4">
        <v>137706</v>
      </c>
      <c r="H221" s="4">
        <v>164093</v>
      </c>
      <c r="I221" s="4">
        <v>123337</v>
      </c>
      <c r="J221" s="6" t="s">
        <v>13</v>
      </c>
      <c r="K221" s="6" t="s">
        <v>20</v>
      </c>
    </row>
    <row r="222" spans="1:11">
      <c r="A222" s="4" t="s">
        <v>273</v>
      </c>
      <c r="B222" s="4">
        <v>13357</v>
      </c>
      <c r="C222" s="4">
        <v>13113</v>
      </c>
      <c r="D222" s="4">
        <v>12895</v>
      </c>
      <c r="E222" s="4">
        <v>13453</v>
      </c>
      <c r="F222" s="4">
        <v>12788</v>
      </c>
      <c r="G222" s="4">
        <v>13749</v>
      </c>
      <c r="H222" s="4">
        <v>13832</v>
      </c>
      <c r="I222" s="4">
        <v>13153</v>
      </c>
      <c r="J222" s="6" t="s">
        <v>15</v>
      </c>
      <c r="K222" s="6" t="s">
        <v>21</v>
      </c>
    </row>
    <row r="223" spans="1:11">
      <c r="A223" s="4" t="s">
        <v>214</v>
      </c>
      <c r="B223" s="4">
        <v>48555</v>
      </c>
      <c r="C223" s="4">
        <v>48663</v>
      </c>
      <c r="D223" s="4">
        <v>47869</v>
      </c>
      <c r="E223" s="4">
        <v>47199</v>
      </c>
      <c r="F223" s="4">
        <v>49787</v>
      </c>
      <c r="G223" s="4">
        <v>49208</v>
      </c>
      <c r="H223" s="4">
        <v>46531</v>
      </c>
      <c r="I223" s="4">
        <v>50413</v>
      </c>
      <c r="J223" s="6" t="s">
        <v>13</v>
      </c>
      <c r="K223" s="6" t="s">
        <v>21</v>
      </c>
    </row>
    <row r="224" spans="1:11">
      <c r="A224" s="4" t="s">
        <v>69</v>
      </c>
      <c r="B224" s="4">
        <v>14553</v>
      </c>
      <c r="C224" s="4">
        <v>14348</v>
      </c>
      <c r="D224" s="4">
        <v>14662</v>
      </c>
      <c r="E224" s="4">
        <v>14362</v>
      </c>
      <c r="F224" s="4">
        <v>14993</v>
      </c>
      <c r="G224" s="4">
        <v>14392</v>
      </c>
      <c r="H224" s="4">
        <v>14396</v>
      </c>
      <c r="I224" s="4">
        <v>15317</v>
      </c>
      <c r="J224" s="6" t="s">
        <v>15</v>
      </c>
      <c r="K224" s="6" t="s">
        <v>21</v>
      </c>
    </row>
    <row r="225" spans="1:11">
      <c r="A225" s="4" t="s">
        <v>195</v>
      </c>
      <c r="B225" s="4">
        <v>73022</v>
      </c>
      <c r="C225" s="4">
        <v>71629</v>
      </c>
      <c r="D225" s="4">
        <v>75854</v>
      </c>
      <c r="E225" s="4">
        <v>70815</v>
      </c>
      <c r="F225" s="4">
        <v>72507</v>
      </c>
      <c r="G225" s="4">
        <v>75237</v>
      </c>
      <c r="H225" s="4">
        <v>74352</v>
      </c>
      <c r="I225" s="4">
        <v>70496</v>
      </c>
      <c r="J225" s="6" t="s">
        <v>13</v>
      </c>
      <c r="K225" s="6" t="s">
        <v>21</v>
      </c>
    </row>
    <row r="226" spans="1:11">
      <c r="A226" s="4" t="s">
        <v>252</v>
      </c>
      <c r="B226" s="4">
        <v>35742</v>
      </c>
      <c r="C226" s="4">
        <v>12535</v>
      </c>
      <c r="D226" s="4">
        <v>33550</v>
      </c>
      <c r="E226" s="4">
        <v>11649</v>
      </c>
      <c r="F226" s="4">
        <v>5200</v>
      </c>
      <c r="G226" s="4">
        <v>29464</v>
      </c>
      <c r="H226" s="4">
        <v>5863</v>
      </c>
      <c r="I226" s="4">
        <v>24617</v>
      </c>
      <c r="J226" s="6" t="s">
        <v>14</v>
      </c>
      <c r="K226" s="6" t="s">
        <v>19</v>
      </c>
    </row>
    <row r="227" spans="1:11">
      <c r="A227" s="4" t="s">
        <v>282</v>
      </c>
      <c r="B227" s="4">
        <v>36907</v>
      </c>
      <c r="C227" s="4">
        <v>33014</v>
      </c>
      <c r="D227" s="4">
        <v>34778</v>
      </c>
      <c r="E227" s="4">
        <v>28019</v>
      </c>
      <c r="F227" s="4">
        <v>35371</v>
      </c>
      <c r="G227" s="4">
        <v>28951</v>
      </c>
      <c r="H227" s="4">
        <v>40874</v>
      </c>
      <c r="I227" s="4">
        <v>29319</v>
      </c>
      <c r="J227" s="6" t="s">
        <v>13</v>
      </c>
      <c r="K227" s="6" t="s">
        <v>20</v>
      </c>
    </row>
    <row r="228" spans="1:11">
      <c r="A228" s="4" t="s">
        <v>66</v>
      </c>
      <c r="B228" s="4">
        <v>18868</v>
      </c>
      <c r="C228" s="4">
        <v>17518</v>
      </c>
      <c r="D228" s="4">
        <v>18059</v>
      </c>
      <c r="E228" s="4">
        <v>17529</v>
      </c>
      <c r="F228" s="4">
        <v>18885</v>
      </c>
      <c r="G228" s="4">
        <v>18771</v>
      </c>
      <c r="H228" s="4">
        <v>18971</v>
      </c>
      <c r="I228" s="4">
        <v>18631</v>
      </c>
      <c r="J228" s="6" t="s">
        <v>14</v>
      </c>
      <c r="K228" s="6" t="s">
        <v>21</v>
      </c>
    </row>
    <row r="229" spans="1:11">
      <c r="A229" s="4" t="s">
        <v>266</v>
      </c>
      <c r="B229" s="4">
        <v>14666</v>
      </c>
      <c r="C229" s="4">
        <v>6542</v>
      </c>
      <c r="D229" s="4">
        <v>41586</v>
      </c>
      <c r="E229" s="4">
        <v>42214</v>
      </c>
      <c r="F229" s="4">
        <v>5200</v>
      </c>
      <c r="G229" s="4">
        <v>7549</v>
      </c>
      <c r="H229" s="4">
        <v>17839</v>
      </c>
      <c r="I229" s="4">
        <v>41655</v>
      </c>
      <c r="J229" s="6" t="s">
        <v>14</v>
      </c>
      <c r="K229" s="6" t="s">
        <v>19</v>
      </c>
    </row>
    <row r="230" spans="1:11">
      <c r="A230" s="4" t="s">
        <v>225</v>
      </c>
      <c r="B230" s="4">
        <v>12072</v>
      </c>
      <c r="C230" s="4">
        <v>21461</v>
      </c>
      <c r="D230" s="4">
        <v>21457</v>
      </c>
      <c r="E230" s="4">
        <v>5200</v>
      </c>
      <c r="F230" s="4">
        <v>10105</v>
      </c>
      <c r="G230" s="4">
        <v>25563</v>
      </c>
      <c r="H230" s="4">
        <v>24294</v>
      </c>
      <c r="I230" s="4">
        <v>5200</v>
      </c>
      <c r="J230" s="6" t="s">
        <v>15</v>
      </c>
      <c r="K230" s="6" t="s">
        <v>19</v>
      </c>
    </row>
    <row r="231" spans="1:11">
      <c r="A231" s="4" t="s">
        <v>135</v>
      </c>
      <c r="B231" s="4">
        <v>22957</v>
      </c>
      <c r="C231" s="4">
        <v>31086</v>
      </c>
      <c r="D231" s="4">
        <v>37431</v>
      </c>
      <c r="E231" s="4">
        <v>30304</v>
      </c>
      <c r="F231" s="4">
        <v>31013</v>
      </c>
      <c r="G231" s="4">
        <v>37407</v>
      </c>
      <c r="H231" s="4">
        <v>38470</v>
      </c>
      <c r="I231" s="4">
        <v>34655</v>
      </c>
      <c r="J231" s="6" t="s">
        <v>13</v>
      </c>
      <c r="K231" s="6" t="s">
        <v>20</v>
      </c>
    </row>
    <row r="232" spans="1:11">
      <c r="A232" s="4" t="s">
        <v>57</v>
      </c>
      <c r="B232" s="4">
        <v>49238</v>
      </c>
      <c r="C232" s="4">
        <v>50460</v>
      </c>
      <c r="D232" s="4">
        <v>50236</v>
      </c>
      <c r="E232" s="4">
        <v>52343</v>
      </c>
      <c r="F232" s="4">
        <v>48362</v>
      </c>
      <c r="G232" s="4">
        <v>50908</v>
      </c>
      <c r="H232" s="4">
        <v>52249</v>
      </c>
      <c r="I232" s="4">
        <v>52347</v>
      </c>
      <c r="J232" s="6" t="s">
        <v>13</v>
      </c>
      <c r="K232" s="6" t="s">
        <v>21</v>
      </c>
    </row>
    <row r="233" spans="1:11">
      <c r="A233" s="4" t="s">
        <v>280</v>
      </c>
      <c r="B233" s="4">
        <v>42610</v>
      </c>
      <c r="C233" s="4">
        <v>40346</v>
      </c>
      <c r="D233" s="4">
        <v>41037</v>
      </c>
      <c r="E233" s="4">
        <v>42919</v>
      </c>
      <c r="F233" s="4">
        <v>43117</v>
      </c>
      <c r="G233" s="4">
        <v>41204</v>
      </c>
      <c r="H233" s="4">
        <v>42373</v>
      </c>
      <c r="I233" s="4">
        <v>41972</v>
      </c>
      <c r="J233" s="6" t="s">
        <v>13</v>
      </c>
      <c r="K233" s="6" t="s">
        <v>21</v>
      </c>
    </row>
    <row r="234" spans="1:11">
      <c r="A234" s="4" t="s">
        <v>166</v>
      </c>
      <c r="B234" s="4">
        <v>45290</v>
      </c>
      <c r="C234" s="4">
        <v>60711</v>
      </c>
      <c r="D234" s="4">
        <v>67567</v>
      </c>
      <c r="E234" s="4">
        <v>68991</v>
      </c>
      <c r="F234" s="4">
        <v>63452</v>
      </c>
      <c r="G234" s="4">
        <v>40548</v>
      </c>
      <c r="H234" s="4">
        <v>56682</v>
      </c>
      <c r="I234" s="4">
        <v>63942</v>
      </c>
      <c r="J234" s="6" t="s">
        <v>13</v>
      </c>
      <c r="K234" s="6" t="s">
        <v>20</v>
      </c>
    </row>
    <row r="235" spans="1:11">
      <c r="A235" s="4" t="s">
        <v>127</v>
      </c>
      <c r="B235" s="4">
        <v>13503</v>
      </c>
      <c r="C235" s="4">
        <v>34689</v>
      </c>
      <c r="D235" s="4">
        <v>10321</v>
      </c>
      <c r="E235" s="4">
        <v>41620</v>
      </c>
      <c r="F235" s="4">
        <v>37277</v>
      </c>
      <c r="G235" s="4">
        <v>35824</v>
      </c>
      <c r="H235" s="4">
        <v>37152</v>
      </c>
      <c r="I235" s="4">
        <v>5200</v>
      </c>
      <c r="J235" s="6" t="s">
        <v>14</v>
      </c>
      <c r="K235" s="6" t="s">
        <v>19</v>
      </c>
    </row>
    <row r="236" spans="1:11">
      <c r="A236" s="4" t="s">
        <v>222</v>
      </c>
      <c r="B236" s="4">
        <v>13627</v>
      </c>
      <c r="C236" s="4">
        <v>14120</v>
      </c>
      <c r="D236" s="4">
        <v>9946</v>
      </c>
      <c r="E236" s="4">
        <v>16247</v>
      </c>
      <c r="F236" s="4">
        <v>14871</v>
      </c>
      <c r="G236" s="4">
        <v>9714</v>
      </c>
      <c r="H236" s="4">
        <v>16562</v>
      </c>
      <c r="I236" s="4">
        <v>16823</v>
      </c>
      <c r="J236" s="6" t="s">
        <v>15</v>
      </c>
      <c r="K236" s="6" t="s">
        <v>20</v>
      </c>
    </row>
    <row r="237" spans="1:11">
      <c r="A237" s="4" t="s">
        <v>205</v>
      </c>
      <c r="B237" s="4">
        <v>41696</v>
      </c>
      <c r="C237" s="4">
        <v>36084</v>
      </c>
      <c r="D237" s="4">
        <v>31747</v>
      </c>
      <c r="E237" s="4">
        <v>112855</v>
      </c>
      <c r="F237" s="4">
        <v>220743</v>
      </c>
      <c r="G237" s="4">
        <v>221573</v>
      </c>
      <c r="H237" s="4">
        <v>268435</v>
      </c>
      <c r="I237" s="4">
        <v>209641</v>
      </c>
      <c r="J237" s="6" t="s">
        <v>13</v>
      </c>
      <c r="K237" s="6" t="s">
        <v>19</v>
      </c>
    </row>
    <row r="238" spans="1:11">
      <c r="A238" s="4" t="s">
        <v>272</v>
      </c>
      <c r="B238" s="4">
        <v>28425</v>
      </c>
      <c r="C238" s="4">
        <v>23518</v>
      </c>
      <c r="D238" s="4">
        <v>5200</v>
      </c>
      <c r="E238" s="4">
        <v>10512</v>
      </c>
      <c r="F238" s="4">
        <v>21989</v>
      </c>
      <c r="G238" s="4">
        <v>5289</v>
      </c>
      <c r="H238" s="4">
        <v>28910</v>
      </c>
      <c r="I238" s="4">
        <v>22349</v>
      </c>
      <c r="J238" s="6" t="s">
        <v>14</v>
      </c>
      <c r="K238" s="6" t="s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ABC Менеджеры сумма</vt:lpstr>
      <vt:lpstr>ABC Менеджеры сделки </vt:lpstr>
      <vt:lpstr>Клиенты XYZ</vt:lpstr>
      <vt:lpstr>Данные</vt:lpstr>
      <vt:lpstr>ABC Менеджеры</vt:lpstr>
      <vt:lpstr>ABC_XYZ Клиенты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Varenik Svichney</cp:lastModifiedBy>
  <dcterms:created xsi:type="dcterms:W3CDTF">2025-11-13T20:18:22Z</dcterms:created>
  <dcterms:modified xsi:type="dcterms:W3CDTF">2026-10-05T21:52:55Z</dcterms:modified>
</cp:coreProperties>
</file>